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2026-2027 US Catalog" sheetId="1" state="visible" r:id="rId1"/>
    <sheet xmlns:r="http://schemas.openxmlformats.org/officeDocument/2006/relationships" name="Executive Summary &amp; Analytics" sheetId="2" state="visible" r:id="rId2"/>
  </sheets>
  <definedNames>
    <definedName name="_xlnm._FilterDatabase" localSheetId="0" hidden="1">'Master 2026-2027 US Catalog'!$A$3:$AA$458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#,##0 hp"/>
    <numFmt numFmtId="167" formatCode="#,##0 lb-ft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color rgb="00065F46"/>
      <sz val="10"/>
    </font>
    <font>
      <name val="Calibri"/>
      <color rgb="00991B1B"/>
      <sz val="10"/>
    </font>
    <font>
      <name val="Calibri"/>
      <i val="1"/>
      <sz val="10"/>
    </font>
    <font>
      <name val="Calibri"/>
      <color rgb="002563EB"/>
      <sz val="10"/>
      <u val="single"/>
    </font>
    <font>
      <name val="Calibri"/>
      <b val="1"/>
      <color rgb="00047857"/>
      <sz val="11"/>
    </font>
    <font>
      <name val="Calibri"/>
      <b val="1"/>
      <color rgb="001E3A8A"/>
      <sz val="16"/>
    </font>
    <font>
      <name val="Calibri"/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 indent="1"/>
    </xf>
    <xf numFmtId="0" fontId="11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35" customWidth="1" min="4" max="4"/>
    <col width="33" customWidth="1" min="5" max="5"/>
    <col width="22" customWidth="1" min="6" max="6"/>
    <col width="15" customWidth="1" min="7" max="7"/>
    <col width="15" customWidth="1" min="8" max="8"/>
    <col width="14" customWidth="1" min="9" max="9"/>
    <col width="43" customWidth="1" min="10" max="10"/>
    <col width="15" customWidth="1" min="11" max="11"/>
    <col width="11" customWidth="1" min="12" max="12"/>
    <col width="32" customWidth="1" min="13" max="13"/>
    <col width="18" customWidth="1" min="14" max="14"/>
    <col width="20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36" customWidth="1" min="22" max="22"/>
    <col width="36" customWidth="1" min="23" max="23"/>
    <col width="44" customWidth="1" min="24" max="24"/>
    <col width="48" customWidth="1" min="25" max="25"/>
    <col width="46" customWidth="1" min="26" max="26"/>
    <col width="36" customWidth="1" min="27" max="27"/>
  </cols>
  <sheetData>
    <row r="1" ht="42" customHeight="1">
      <c r="A1" s="1" t="inlineStr">
        <is>
          <t>EXHAUSTIVE MASTER VEHICLE DATABASE WITH REVIEWS, PROS, CONS &amp; IMAGE URLS (USA 2026–2027)</t>
        </is>
      </c>
    </row>
    <row r="2" ht="24" customHeight="1">
      <c r="A2" s="2" t="inlineStr">
        <is>
          <t>Enterprise master vehicle catalog (455 models) complete with full mechanical specs, Car and Driver ratings, pros, cons, editorial verdicts, and high-resolution image URLs.</t>
        </is>
      </c>
    </row>
    <row r="3" ht="30" customHeight="1">
      <c r="A3" s="3" t="inlineStr">
        <is>
          <t>Year</t>
        </is>
      </c>
      <c r="B3" s="3" t="inlineStr">
        <is>
          <t>Make</t>
        </is>
      </c>
      <c r="C3" s="3" t="inlineStr">
        <is>
          <t>Model / Model Group</t>
        </is>
      </c>
      <c r="D3" s="3" t="inlineStr">
        <is>
          <t>Trim / Variant</t>
        </is>
      </c>
      <c r="E3" s="3" t="inlineStr">
        <is>
          <t>Body Type</t>
        </is>
      </c>
      <c r="F3" s="3" t="inlineStr">
        <is>
          <t>Fuel Type</t>
        </is>
      </c>
      <c r="G3" s="3" t="inlineStr">
        <is>
          <t>MSRP</t>
        </is>
      </c>
      <c r="H3" s="3" t="inlineStr">
        <is>
          <t>Horsepower</t>
        </is>
      </c>
      <c r="I3" s="3" t="inlineStr">
        <is>
          <t>Torque</t>
        </is>
      </c>
      <c r="J3" s="3" t="inlineStr">
        <is>
          <t>Engine</t>
        </is>
      </c>
      <c r="K3" s="3" t="inlineStr">
        <is>
          <t>Displacement</t>
        </is>
      </c>
      <c r="L3" s="3" t="inlineStr">
        <is>
          <t>Cylinders</t>
        </is>
      </c>
      <c r="M3" s="3" t="inlineStr">
        <is>
          <t>Transmission</t>
        </is>
      </c>
      <c r="N3" s="3" t="inlineStr">
        <is>
          <t>Drivetrain</t>
        </is>
      </c>
      <c r="O3" s="3" t="inlineStr">
        <is>
          <t>MPG</t>
        </is>
      </c>
      <c r="P3" s="3" t="inlineStr">
        <is>
          <t>EV range</t>
        </is>
      </c>
      <c r="Q3" s="3" t="inlineStr">
        <is>
          <t>Battery</t>
        </is>
      </c>
      <c r="R3" s="3" t="inlineStr">
        <is>
          <t>Seating</t>
        </is>
      </c>
      <c r="S3" s="3" t="inlineStr">
        <is>
          <t>Cargo</t>
        </is>
      </c>
      <c r="T3" s="3" t="inlineStr">
        <is>
          <t>Towing</t>
        </is>
      </c>
      <c r="U3" s="3" t="inlineStr">
        <is>
          <t>C&amp;D Rating</t>
        </is>
      </c>
      <c r="V3" s="3" t="inlineStr">
        <is>
          <t>Pros (Highs)</t>
        </is>
      </c>
      <c r="W3" s="3" t="inlineStr">
        <is>
          <t>Cons (Lows)</t>
        </is>
      </c>
      <c r="X3" s="3" t="inlineStr">
        <is>
          <t>Review Summary / Verdict</t>
        </is>
      </c>
      <c r="Y3" s="3" t="inlineStr">
        <is>
          <t>Image URL</t>
        </is>
      </c>
      <c r="Z3" s="3" t="inlineStr">
        <is>
          <t>Review URL</t>
        </is>
      </c>
      <c r="AA3" s="3" t="inlineStr">
        <is>
          <t>C&amp;D source</t>
        </is>
      </c>
    </row>
    <row r="4" ht="48" customHeight="1">
      <c r="A4" s="4" t="n">
        <v>2026</v>
      </c>
      <c r="B4" s="5" t="inlineStr">
        <is>
          <t>Acura</t>
        </is>
      </c>
      <c r="C4" s="5" t="inlineStr">
        <is>
          <t>Integra</t>
        </is>
      </c>
      <c r="D4" s="5" t="inlineStr">
        <is>
          <t>A-Spec Tech 6MT</t>
        </is>
      </c>
      <c r="E4" s="5" t="inlineStr">
        <is>
          <t>Compact Liftback</t>
        </is>
      </c>
      <c r="F4" s="5" t="inlineStr">
        <is>
          <t>Gasoline</t>
        </is>
      </c>
      <c r="G4" s="6" t="n">
        <v>38000</v>
      </c>
      <c r="H4" s="7" t="n">
        <v>200</v>
      </c>
      <c r="I4" s="7" t="n">
        <v>192</v>
      </c>
      <c r="J4" s="5" t="inlineStr">
        <is>
          <t>1.5L Turbo I4</t>
        </is>
      </c>
      <c r="K4" s="8" t="n">
        <v>1.5</v>
      </c>
      <c r="L4" s="4" t="n">
        <v>4</v>
      </c>
      <c r="M4" s="5" t="inlineStr">
        <is>
          <t>6-Speed Manual</t>
        </is>
      </c>
      <c r="N4" s="4" t="inlineStr">
        <is>
          <t>FWD</t>
        </is>
      </c>
      <c r="O4" s="4" t="inlineStr">
        <is>
          <t>30 (26/36)</t>
        </is>
      </c>
      <c r="P4" s="4" t="inlineStr">
        <is>
          <t>N/A</t>
        </is>
      </c>
      <c r="Q4" s="9" t="inlineStr">
        <is>
          <t>N/A</t>
        </is>
      </c>
      <c r="R4" s="4" t="n">
        <v>5</v>
      </c>
      <c r="S4" s="10" t="n">
        <v>24.3</v>
      </c>
      <c r="T4" s="4" t="inlineStr">
        <is>
          <t>N/A</t>
        </is>
      </c>
      <c r="U4" s="11" t="inlineStr">
        <is>
          <t>9.0/10</t>
        </is>
      </c>
      <c r="V4" s="12" t="inlineStr">
        <is>
          <t xml:space="preserve"> • Refined performance and chassis poise
 • Comfortable ergonomic cabin
 • Comprehensive safety suite</t>
        </is>
      </c>
      <c r="W4" s="13" t="inlineStr">
        <is>
          <t xml:space="preserve"> • Firm ride on optional large wheels
 • Option packages add up quickly
 • Infotainment learning curve</t>
        </is>
      </c>
      <c r="X4" s="14" t="inlineStr">
        <is>
          <t>A solid, well-rounded contender in the US compact liftback class with competitive dynamics.</t>
        </is>
      </c>
      <c r="Y4" s="15" t="inlineStr">
        <is>
          <t>https://hips.hearstapps.com/hmg-prod/images/2026-acura-integra.jpg</t>
        </is>
      </c>
      <c r="Z4" s="15" t="inlineStr">
        <is>
          <t>https://www.caranddriver.com/acura/integra</t>
        </is>
      </c>
      <c r="AA4" s="5" t="inlineStr">
        <is>
          <t>Car and Driver 10Best</t>
        </is>
      </c>
    </row>
    <row r="5" ht="48" customHeight="1">
      <c r="A5" s="16" t="n">
        <v>2026</v>
      </c>
      <c r="B5" s="17" t="inlineStr">
        <is>
          <t>Acura</t>
        </is>
      </c>
      <c r="C5" s="17" t="inlineStr">
        <is>
          <t>Integra</t>
        </is>
      </c>
      <c r="D5" s="17" t="inlineStr">
        <is>
          <t>Type S</t>
        </is>
      </c>
      <c r="E5" s="17" t="inlineStr">
        <is>
          <t>High-Performance Hatch</t>
        </is>
      </c>
      <c r="F5" s="17" t="inlineStr">
        <is>
          <t>Gasoline</t>
        </is>
      </c>
      <c r="G5" s="18" t="n">
        <v>53795</v>
      </c>
      <c r="H5" s="19" t="n">
        <v>320</v>
      </c>
      <c r="I5" s="19" t="n">
        <v>310</v>
      </c>
      <c r="J5" s="17" t="inlineStr">
        <is>
          <t>2.0L Turbo VTEC I4</t>
        </is>
      </c>
      <c r="K5" s="20" t="n">
        <v>2</v>
      </c>
      <c r="L5" s="16" t="n">
        <v>4</v>
      </c>
      <c r="M5" s="17" t="inlineStr">
        <is>
          <t>6-Speed Manual</t>
        </is>
      </c>
      <c r="N5" s="16" t="inlineStr">
        <is>
          <t>FWD</t>
        </is>
      </c>
      <c r="O5" s="16" t="inlineStr">
        <is>
          <t>24 (21/28)</t>
        </is>
      </c>
      <c r="P5" s="16" t="inlineStr">
        <is>
          <t>N/A</t>
        </is>
      </c>
      <c r="Q5" s="21" t="inlineStr">
        <is>
          <t>N/A</t>
        </is>
      </c>
      <c r="R5" s="16" t="n">
        <v>5</v>
      </c>
      <c r="S5" s="22" t="n">
        <v>24.3</v>
      </c>
      <c r="T5" s="16" t="inlineStr">
        <is>
          <t>N/A</t>
        </is>
      </c>
      <c r="U5" s="23" t="inlineStr">
        <is>
          <t>10/10</t>
        </is>
      </c>
      <c r="V5" s="24" t="inlineStr">
        <is>
          <t xml:space="preserve"> • Refined performance and chassis poise
 • Comfortable ergonomic cabin
 • Comprehensive safety suite</t>
        </is>
      </c>
      <c r="W5" s="25" t="inlineStr">
        <is>
          <t xml:space="preserve"> • Firm ride on optional large wheels
 • Option packages add up quickly
 • Infotainment learning curve</t>
        </is>
      </c>
      <c r="X5" s="26" t="inlineStr">
        <is>
          <t>A solid, well-rounded contender in the US high-performance hatch class with competitive dynamics.</t>
        </is>
      </c>
      <c r="Y5" s="27" t="inlineStr">
        <is>
          <t>https://hips.hearstapps.com/hmg-prod/images/2026-acura-integra.jpg</t>
        </is>
      </c>
      <c r="Z5" s="27" t="inlineStr">
        <is>
          <t>https://www.caranddriver.com/acura/integra-type-s</t>
        </is>
      </c>
      <c r="AA5" s="17" t="inlineStr">
        <is>
          <t>Car and Driver 10Best Winner</t>
        </is>
      </c>
    </row>
    <row r="6" ht="48" customHeight="1">
      <c r="A6" s="4" t="n">
        <v>2026</v>
      </c>
      <c r="B6" s="5" t="inlineStr">
        <is>
          <t>Acura</t>
        </is>
      </c>
      <c r="C6" s="5" t="inlineStr">
        <is>
          <t>TLX</t>
        </is>
      </c>
      <c r="D6" s="5" t="inlineStr">
        <is>
          <t>Technology</t>
        </is>
      </c>
      <c r="E6" s="5" t="inlineStr">
        <is>
          <t>Compact Luxury Sedan</t>
        </is>
      </c>
      <c r="F6" s="5" t="inlineStr">
        <is>
          <t>Gasoline</t>
        </is>
      </c>
      <c r="G6" s="6" t="n">
        <v>46595</v>
      </c>
      <c r="H6" s="7" t="n">
        <v>272</v>
      </c>
      <c r="I6" s="7" t="n">
        <v>280</v>
      </c>
      <c r="J6" s="5" t="inlineStr">
        <is>
          <t>2.0L Turbo I4</t>
        </is>
      </c>
      <c r="K6" s="8" t="n">
        <v>2</v>
      </c>
      <c r="L6" s="4" t="n">
        <v>4</v>
      </c>
      <c r="M6" s="5" t="inlineStr">
        <is>
          <t>10-Speed Auto</t>
        </is>
      </c>
      <c r="N6" s="4" t="inlineStr">
        <is>
          <t>FWD</t>
        </is>
      </c>
      <c r="O6" s="4" t="inlineStr">
        <is>
          <t>25 (22/31)</t>
        </is>
      </c>
      <c r="P6" s="4" t="inlineStr">
        <is>
          <t>N/A</t>
        </is>
      </c>
      <c r="Q6" s="9" t="inlineStr">
        <is>
          <t>N/A</t>
        </is>
      </c>
      <c r="R6" s="4" t="n">
        <v>5</v>
      </c>
      <c r="S6" s="10" t="n">
        <v>13.5</v>
      </c>
      <c r="T6" s="4" t="inlineStr">
        <is>
          <t>N/A</t>
        </is>
      </c>
      <c r="U6" s="11" t="inlineStr">
        <is>
          <t>8.0/10</t>
        </is>
      </c>
      <c r="V6" s="12" t="inlineStr">
        <is>
          <t xml:space="preserve"> • Sharper handling dynamics than taller SUVs
 • Superior highway fuel economy
 • Easy maneuvering in urban spaces</t>
        </is>
      </c>
      <c r="W6" s="13" t="inlineStr">
        <is>
          <t xml:space="preserve"> • Less cargo flexibility than crossovers
 • Lower seating hip point for ingress
 • Fewer AWD options</t>
        </is>
      </c>
      <c r="X6" s="14" t="inlineStr">
        <is>
          <t>A well-proportioned compact luxury sedan offering superior driving manners and efficiency over conventional crossovers.</t>
        </is>
      </c>
      <c r="Y6" s="15" t="inlineStr">
        <is>
          <t>https://hips.hearstapps.com/hmg-prod/images/2026-acura-tlx.jpg</t>
        </is>
      </c>
      <c r="Z6" s="15" t="inlineStr">
        <is>
          <t>https://www.caranddriver.com/acura/tlx</t>
        </is>
      </c>
      <c r="AA6" s="5" t="inlineStr">
        <is>
          <t>Car and Driver Review</t>
        </is>
      </c>
    </row>
    <row r="7" ht="48" customHeight="1">
      <c r="A7" s="16" t="n">
        <v>2026</v>
      </c>
      <c r="B7" s="17" t="inlineStr">
        <is>
          <t>Acura</t>
        </is>
      </c>
      <c r="C7" s="17" t="inlineStr">
        <is>
          <t>TLX</t>
        </is>
      </c>
      <c r="D7" s="17" t="inlineStr">
        <is>
          <t>Type S SH-AWD</t>
        </is>
      </c>
      <c r="E7" s="17" t="inlineStr">
        <is>
          <t>Sport Sedan</t>
        </is>
      </c>
      <c r="F7" s="17" t="inlineStr">
        <is>
          <t>Gasoline</t>
        </is>
      </c>
      <c r="G7" s="18" t="n">
        <v>58795</v>
      </c>
      <c r="H7" s="19" t="n">
        <v>355</v>
      </c>
      <c r="I7" s="19" t="n">
        <v>354</v>
      </c>
      <c r="J7" s="17" t="inlineStr">
        <is>
          <t>3.0L Turbo V6</t>
        </is>
      </c>
      <c r="K7" s="20" t="n">
        <v>3</v>
      </c>
      <c r="L7" s="16" t="n">
        <v>6</v>
      </c>
      <c r="M7" s="17" t="inlineStr">
        <is>
          <t>10-Speed Auto</t>
        </is>
      </c>
      <c r="N7" s="16" t="inlineStr">
        <is>
          <t>SH-AWD</t>
        </is>
      </c>
      <c r="O7" s="16" t="inlineStr">
        <is>
          <t>21 (19/25)</t>
        </is>
      </c>
      <c r="P7" s="16" t="inlineStr">
        <is>
          <t>N/A</t>
        </is>
      </c>
      <c r="Q7" s="21" t="inlineStr">
        <is>
          <t>N/A</t>
        </is>
      </c>
      <c r="R7" s="16" t="n">
        <v>5</v>
      </c>
      <c r="S7" s="22" t="n">
        <v>13.5</v>
      </c>
      <c r="T7" s="16" t="inlineStr">
        <is>
          <t>N/A</t>
        </is>
      </c>
      <c r="U7" s="28" t="inlineStr">
        <is>
          <t>8.5/10</t>
        </is>
      </c>
      <c r="V7" s="24" t="inlineStr">
        <is>
          <t xml:space="preserve"> • Sharper handling dynamics than taller SUVs
 • Superior highway fuel economy
 • Easy maneuvering in urban spaces</t>
        </is>
      </c>
      <c r="W7" s="25" t="inlineStr">
        <is>
          <t xml:space="preserve"> • Less cargo flexibility than crossovers
 • Lower seating hip point for ingress
 • Fewer AWD options</t>
        </is>
      </c>
      <c r="X7" s="26" t="inlineStr">
        <is>
          <t>A well-proportioned sport sedan offering superior driving manners and efficiency over conventional crossovers.</t>
        </is>
      </c>
      <c r="Y7" s="27" t="inlineStr">
        <is>
          <t>https://hips.hearstapps.com/hmg-prod/images/2026-acura-tlx.jpg</t>
        </is>
      </c>
      <c r="Z7" s="27" t="inlineStr">
        <is>
          <t>https://www.caranddriver.com/acura/tlx</t>
        </is>
      </c>
      <c r="AA7" s="17" t="inlineStr">
        <is>
          <t>Car and Driver Editors' Choice</t>
        </is>
      </c>
    </row>
    <row r="8" ht="48" customHeight="1">
      <c r="A8" s="4" t="n">
        <v>2026</v>
      </c>
      <c r="B8" s="5" t="inlineStr">
        <is>
          <t>Acura</t>
        </is>
      </c>
      <c r="C8" s="5" t="inlineStr">
        <is>
          <t>RDX</t>
        </is>
      </c>
      <c r="D8" s="5" t="inlineStr">
        <is>
          <t>A-Spec Advance</t>
        </is>
      </c>
      <c r="E8" s="5" t="inlineStr">
        <is>
          <t>Compact Luxury Crossover</t>
        </is>
      </c>
      <c r="F8" s="5" t="inlineStr">
        <is>
          <t>Gasoline</t>
        </is>
      </c>
      <c r="G8" s="6" t="n">
        <v>55450</v>
      </c>
      <c r="H8" s="7" t="n">
        <v>272</v>
      </c>
      <c r="I8" s="7" t="n">
        <v>280</v>
      </c>
      <c r="J8" s="5" t="inlineStr">
        <is>
          <t>2.0L Turbo I4</t>
        </is>
      </c>
      <c r="K8" s="8" t="n">
        <v>2</v>
      </c>
      <c r="L8" s="4" t="n">
        <v>4</v>
      </c>
      <c r="M8" s="5" t="inlineStr">
        <is>
          <t>10-Speed Auto</t>
        </is>
      </c>
      <c r="N8" s="4" t="inlineStr">
        <is>
          <t>SH-AWD</t>
        </is>
      </c>
      <c r="O8" s="4" t="inlineStr">
        <is>
          <t>23 (21/26)</t>
        </is>
      </c>
      <c r="P8" s="4" t="inlineStr">
        <is>
          <t>N/A</t>
        </is>
      </c>
      <c r="Q8" s="9" t="inlineStr">
        <is>
          <t>N/A</t>
        </is>
      </c>
      <c r="R8" s="4" t="n">
        <v>5</v>
      </c>
      <c r="S8" s="10" t="n">
        <v>29.5</v>
      </c>
      <c r="T8" s="7" t="n">
        <v>1500</v>
      </c>
      <c r="U8" s="11" t="inlineStr">
        <is>
          <t>8.0/10</t>
        </is>
      </c>
      <c r="V8" s="12" t="inlineStr">
        <is>
          <t xml:space="preserve"> • Spacious passenger and cargo room
 • Commanding elevated driving position
 • Confidence-inspiring all-weather grip</t>
        </is>
      </c>
      <c r="W8" s="13" t="inlineStr">
        <is>
          <t xml:space="preserve"> • Higher center of gravity than sedans
 • Fuel consumption under heavy load
 • Less engaging steering feel</t>
        </is>
      </c>
      <c r="X8" s="14" t="inlineStr">
        <is>
          <t>A highly versatile compact luxury crossover that delivers generous space, modern safety tech, and daily utility.</t>
        </is>
      </c>
      <c r="Y8" s="15" t="inlineStr">
        <is>
          <t>https://hips.hearstapps.com/hmg-prod/images/2026-acura-rdx.jpg</t>
        </is>
      </c>
      <c r="Z8" s="15" t="inlineStr">
        <is>
          <t>https://www.caranddriver.com/acura/rdx</t>
        </is>
      </c>
      <c r="AA8" s="5" t="inlineStr">
        <is>
          <t>Car and Driver Buyer's Guide</t>
        </is>
      </c>
    </row>
    <row r="9" ht="48" customHeight="1">
      <c r="A9" s="16" t="n">
        <v>2026</v>
      </c>
      <c r="B9" s="17" t="inlineStr">
        <is>
          <t>Acura</t>
        </is>
      </c>
      <c r="C9" s="17" t="inlineStr">
        <is>
          <t>MDX</t>
        </is>
      </c>
      <c r="D9" s="17" t="inlineStr">
        <is>
          <t>A-Spec Advance</t>
        </is>
      </c>
      <c r="E9" s="17" t="inlineStr">
        <is>
          <t>3-Row Luxury SUV</t>
        </is>
      </c>
      <c r="F9" s="17" t="inlineStr">
        <is>
          <t>Gasoline</t>
        </is>
      </c>
      <c r="G9" s="18" t="n">
        <v>63000</v>
      </c>
      <c r="H9" s="19" t="n">
        <v>290</v>
      </c>
      <c r="I9" s="19" t="n">
        <v>267</v>
      </c>
      <c r="J9" s="17" t="inlineStr">
        <is>
          <t>3.5L DOHC V6</t>
        </is>
      </c>
      <c r="K9" s="20" t="n">
        <v>3.5</v>
      </c>
      <c r="L9" s="16" t="n">
        <v>6</v>
      </c>
      <c r="M9" s="17" t="inlineStr">
        <is>
          <t>10-Speed Auto</t>
        </is>
      </c>
      <c r="N9" s="16" t="inlineStr">
        <is>
          <t>SH-AWD</t>
        </is>
      </c>
      <c r="O9" s="16" t="inlineStr">
        <is>
          <t>21 (19/25)</t>
        </is>
      </c>
      <c r="P9" s="16" t="inlineStr">
        <is>
          <t>N/A</t>
        </is>
      </c>
      <c r="Q9" s="21" t="inlineStr">
        <is>
          <t>N/A</t>
        </is>
      </c>
      <c r="R9" s="16" t="n">
        <v>7</v>
      </c>
      <c r="S9" s="22" t="n">
        <v>16.3</v>
      </c>
      <c r="T9" s="19" t="n">
        <v>5000</v>
      </c>
      <c r="U9" s="28" t="inlineStr">
        <is>
          <t>8.5/10</t>
        </is>
      </c>
      <c r="V9" s="24" t="inlineStr">
        <is>
          <t xml:space="preserve"> • Spacious passenger and cargo room
 • Commanding elevated driving position
 • Confidence-inspiring all-weather grip</t>
        </is>
      </c>
      <c r="W9" s="25" t="inlineStr">
        <is>
          <t xml:space="preserve"> • Higher center of gravity than sedans
 • Fuel consumption under heavy load
 • Less engaging steering feel</t>
        </is>
      </c>
      <c r="X9" s="26" t="inlineStr">
        <is>
          <t>A highly versatile 3-row luxury suv that delivers generous space, modern safety tech, and daily utility.</t>
        </is>
      </c>
      <c r="Y9" s="27" t="inlineStr">
        <is>
          <t>https://hips.hearstapps.com/hmg-prod/images/2026-acura-mdx.jpg</t>
        </is>
      </c>
      <c r="Z9" s="27" t="inlineStr">
        <is>
          <t>https://www.caranddriver.com/acura/mdx</t>
        </is>
      </c>
      <c r="AA9" s="17" t="inlineStr">
        <is>
          <t>Car and Driver Buyer's Guide</t>
        </is>
      </c>
    </row>
    <row r="10" ht="48" customHeight="1">
      <c r="A10" s="4" t="n">
        <v>2026</v>
      </c>
      <c r="B10" s="5" t="inlineStr">
        <is>
          <t>Acura</t>
        </is>
      </c>
      <c r="C10" s="5" t="inlineStr">
        <is>
          <t>MDX</t>
        </is>
      </c>
      <c r="D10" s="5" t="inlineStr">
        <is>
          <t>Type S Advance</t>
        </is>
      </c>
      <c r="E10" s="5" t="inlineStr">
        <is>
          <t>3-Row Sport Luxury SUV</t>
        </is>
      </c>
      <c r="F10" s="5" t="inlineStr">
        <is>
          <t>Gasoline</t>
        </is>
      </c>
      <c r="G10" s="6" t="n">
        <v>76300</v>
      </c>
      <c r="H10" s="7" t="n">
        <v>355</v>
      </c>
      <c r="I10" s="7" t="n">
        <v>354</v>
      </c>
      <c r="J10" s="5" t="inlineStr">
        <is>
          <t>3.0L Turbo V6</t>
        </is>
      </c>
      <c r="K10" s="8" t="n">
        <v>3</v>
      </c>
      <c r="L10" s="4" t="n">
        <v>6</v>
      </c>
      <c r="M10" s="5" t="inlineStr">
        <is>
          <t>10-Speed Auto</t>
        </is>
      </c>
      <c r="N10" s="4" t="inlineStr">
        <is>
          <t>SH-AWD</t>
        </is>
      </c>
      <c r="O10" s="4" t="inlineStr">
        <is>
          <t>19 (17/21)</t>
        </is>
      </c>
      <c r="P10" s="4" t="inlineStr">
        <is>
          <t>N/A</t>
        </is>
      </c>
      <c r="Q10" s="9" t="inlineStr">
        <is>
          <t>N/A</t>
        </is>
      </c>
      <c r="R10" s="4" t="n">
        <v>7</v>
      </c>
      <c r="S10" s="10" t="n">
        <v>16.3</v>
      </c>
      <c r="T10" s="7" t="n">
        <v>5000</v>
      </c>
      <c r="U10" s="11" t="inlineStr">
        <is>
          <t>8.5/10</t>
        </is>
      </c>
      <c r="V10" s="12" t="inlineStr">
        <is>
          <t xml:space="preserve"> • Spacious passenger and cargo room
 • Commanding elevated driving position
 • Confidence-inspiring all-weather grip</t>
        </is>
      </c>
      <c r="W10" s="13" t="inlineStr">
        <is>
          <t xml:space="preserve"> • Higher center of gravity than sedans
 • Fuel consumption under heavy load
 • Less engaging steering feel</t>
        </is>
      </c>
      <c r="X10" s="14" t="inlineStr">
        <is>
          <t>A highly versatile 3-row sport luxury suv that delivers generous space, modern safety tech, and daily utility.</t>
        </is>
      </c>
      <c r="Y10" s="15" t="inlineStr">
        <is>
          <t>https://hips.hearstapps.com/hmg-prod/images/2026-acura-mdx.jpg</t>
        </is>
      </c>
      <c r="Z10" s="15" t="inlineStr">
        <is>
          <t>https://www.caranddriver.com/acura/mdx</t>
        </is>
      </c>
      <c r="AA10" s="5" t="inlineStr">
        <is>
          <t>Car and Driver Buyer's Guide</t>
        </is>
      </c>
    </row>
    <row r="11" ht="48" customHeight="1">
      <c r="A11" s="16" t="n">
        <v>2026</v>
      </c>
      <c r="B11" s="17" t="inlineStr">
        <is>
          <t>Acura</t>
        </is>
      </c>
      <c r="C11" s="17" t="inlineStr">
        <is>
          <t>ZDX</t>
        </is>
      </c>
      <c r="D11" s="17" t="inlineStr">
        <is>
          <t>Type S</t>
        </is>
      </c>
      <c r="E11" s="17" t="inlineStr">
        <is>
          <t>Mid-Size Luxury EV SUV</t>
        </is>
      </c>
      <c r="F11" s="17" t="inlineStr">
        <is>
          <t>Electric</t>
        </is>
      </c>
      <c r="G11" s="18" t="n">
        <v>75895</v>
      </c>
      <c r="H11" s="19" t="n">
        <v>500</v>
      </c>
      <c r="I11" s="19" t="n">
        <v>544</v>
      </c>
      <c r="J11" s="17" t="inlineStr">
        <is>
          <t>Dual Electric Motors</t>
        </is>
      </c>
      <c r="K11" s="16" t="inlineStr">
        <is>
          <t>N/A</t>
        </is>
      </c>
      <c r="L11" s="16" t="n">
        <v>0</v>
      </c>
      <c r="M11" s="17" t="inlineStr">
        <is>
          <t>1-Speed Direct-Drive</t>
        </is>
      </c>
      <c r="N11" s="16" t="inlineStr">
        <is>
          <t>AWD</t>
        </is>
      </c>
      <c r="O11" s="16" t="inlineStr">
        <is>
          <t>79 MPGe</t>
        </is>
      </c>
      <c r="P11" s="16" t="inlineStr">
        <is>
          <t>278</t>
        </is>
      </c>
      <c r="Q11" s="22" t="n">
        <v>102</v>
      </c>
      <c r="R11" s="16" t="n">
        <v>5</v>
      </c>
      <c r="S11" s="22" t="n">
        <v>28.7</v>
      </c>
      <c r="T11" s="19" t="n">
        <v>3500</v>
      </c>
      <c r="U11" s="28" t="inlineStr">
        <is>
          <t>8.0/10</t>
        </is>
      </c>
      <c r="V11" s="24" t="inlineStr">
        <is>
          <t xml:space="preserve"> • Silent, instantaneous acceleration
 • Low center of gravity enhances stability
 • Zero tailpipe emissions</t>
        </is>
      </c>
      <c r="W11" s="25" t="inlineStr">
        <is>
          <t xml:space="preserve"> • Highway range drops at sustained speed
 • Public charging network variability
 • Pricier initial purchase cost</t>
        </is>
      </c>
      <c r="X11" s="26" t="inlineStr">
        <is>
          <t>A compelling electric entry in the mid-size luxury ev suv segment offering smooth power delivery and advanced tech.</t>
        </is>
      </c>
      <c r="Y11" s="27" t="inlineStr">
        <is>
          <t>https://hips.hearstapps.com/hmg-prod/images/2026-acura-zdx.jpg</t>
        </is>
      </c>
      <c r="Z11" s="27" t="inlineStr">
        <is>
          <t>https://www.caranddriver.com/acura/zdx</t>
        </is>
      </c>
      <c r="AA11" s="17" t="inlineStr">
        <is>
          <t>Car and Driver Buyer's Guide</t>
        </is>
      </c>
    </row>
    <row r="12" ht="48" customHeight="1">
      <c r="A12" s="4" t="n">
        <v>2026</v>
      </c>
      <c r="B12" s="5" t="inlineStr">
        <is>
          <t>Alfa Romeo</t>
        </is>
      </c>
      <c r="C12" s="5" t="inlineStr">
        <is>
          <t>Giulia</t>
        </is>
      </c>
      <c r="D12" s="5" t="inlineStr">
        <is>
          <t>Veloce Q4</t>
        </is>
      </c>
      <c r="E12" s="5" t="inlineStr">
        <is>
          <t>Compact Luxury Sedan</t>
        </is>
      </c>
      <c r="F12" s="5" t="inlineStr">
        <is>
          <t>Gasoline</t>
        </is>
      </c>
      <c r="G12" s="6" t="n">
        <v>48500</v>
      </c>
      <c r="H12" s="7" t="n">
        <v>280</v>
      </c>
      <c r="I12" s="7" t="n">
        <v>306</v>
      </c>
      <c r="J12" s="5" t="inlineStr">
        <is>
          <t>2.0L Turbo I4</t>
        </is>
      </c>
      <c r="K12" s="8" t="n">
        <v>2</v>
      </c>
      <c r="L12" s="4" t="n">
        <v>4</v>
      </c>
      <c r="M12" s="5" t="inlineStr">
        <is>
          <t>8-Speed Auto</t>
        </is>
      </c>
      <c r="N12" s="4" t="inlineStr">
        <is>
          <t>AWD</t>
        </is>
      </c>
      <c r="O12" s="4" t="inlineStr">
        <is>
          <t>26 (23/31)</t>
        </is>
      </c>
      <c r="P12" s="4" t="inlineStr">
        <is>
          <t>N/A</t>
        </is>
      </c>
      <c r="Q12" s="9" t="inlineStr">
        <is>
          <t>N/A</t>
        </is>
      </c>
      <c r="R12" s="4" t="n">
        <v>5</v>
      </c>
      <c r="S12" s="10" t="n">
        <v>13</v>
      </c>
      <c r="T12" s="4" t="inlineStr">
        <is>
          <t>N/A</t>
        </is>
      </c>
      <c r="U12" s="11" t="inlineStr">
        <is>
          <t>8.5/10</t>
        </is>
      </c>
      <c r="V12" s="12" t="inlineStr">
        <is>
          <t xml:space="preserve"> • Sharper handling dynamics than taller SUVs
 • Superior highway fuel economy
 • Easy maneuvering in urban spaces</t>
        </is>
      </c>
      <c r="W12" s="13" t="inlineStr">
        <is>
          <t xml:space="preserve"> • Less cargo flexibility than crossovers
 • Lower seating hip point for ingress
 • Fewer AWD options</t>
        </is>
      </c>
      <c r="X12" s="14" t="inlineStr">
        <is>
          <t>A well-proportioned compact luxury sedan offering superior driving manners and efficiency over conventional crossovers.</t>
        </is>
      </c>
      <c r="Y12" s="15" t="inlineStr">
        <is>
          <t>https://hips.hearstapps.com/hmg-prod/images/2026-alfa-romeo-giulia.jpg</t>
        </is>
      </c>
      <c r="Z12" s="15" t="inlineStr">
        <is>
          <t>https://www.caranddriver.com/alfa-romeo/giulia</t>
        </is>
      </c>
      <c r="AA12" s="5" t="inlineStr">
        <is>
          <t>Car and Driver Editors' Choice</t>
        </is>
      </c>
    </row>
    <row r="13" ht="48" customHeight="1">
      <c r="A13" s="16" t="n">
        <v>2026</v>
      </c>
      <c r="B13" s="17" t="inlineStr">
        <is>
          <t>Alfa Romeo</t>
        </is>
      </c>
      <c r="C13" s="17" t="inlineStr">
        <is>
          <t>Giulia</t>
        </is>
      </c>
      <c r="D13" s="17" t="inlineStr">
        <is>
          <t>Quadrifoglio</t>
        </is>
      </c>
      <c r="E13" s="17" t="inlineStr">
        <is>
          <t>Sport Sedan</t>
        </is>
      </c>
      <c r="F13" s="17" t="inlineStr">
        <is>
          <t>Gasoline</t>
        </is>
      </c>
      <c r="G13" s="18" t="n">
        <v>83870</v>
      </c>
      <c r="H13" s="19" t="n">
        <v>505</v>
      </c>
      <c r="I13" s="19" t="n">
        <v>443</v>
      </c>
      <c r="J13" s="17" t="inlineStr">
        <is>
          <t>2.9L Twin-Turbo V6</t>
        </is>
      </c>
      <c r="K13" s="20" t="n">
        <v>2.9</v>
      </c>
      <c r="L13" s="16" t="n">
        <v>6</v>
      </c>
      <c r="M13" s="17" t="inlineStr">
        <is>
          <t>8-Speed Auto</t>
        </is>
      </c>
      <c r="N13" s="16" t="inlineStr">
        <is>
          <t>RWD</t>
        </is>
      </c>
      <c r="O13" s="16" t="inlineStr">
        <is>
          <t>20 (17/25)</t>
        </is>
      </c>
      <c r="P13" s="16" t="inlineStr">
        <is>
          <t>N/A</t>
        </is>
      </c>
      <c r="Q13" s="21" t="inlineStr">
        <is>
          <t>N/A</t>
        </is>
      </c>
      <c r="R13" s="16" t="n">
        <v>5</v>
      </c>
      <c r="S13" s="22" t="n">
        <v>13</v>
      </c>
      <c r="T13" s="16" t="inlineStr">
        <is>
          <t>N/A</t>
        </is>
      </c>
      <c r="U13" s="23" t="inlineStr">
        <is>
          <t>9.5/10</t>
        </is>
      </c>
      <c r="V13" s="24" t="inlineStr">
        <is>
          <t xml:space="preserve"> • Sharper handling dynamics than taller SUVs
 • Superior highway fuel economy
 • Easy maneuvering in urban spaces</t>
        </is>
      </c>
      <c r="W13" s="25" t="inlineStr">
        <is>
          <t xml:space="preserve"> • Less cargo flexibility than crossovers
 • Lower seating hip point for ingress
 • Fewer AWD options</t>
        </is>
      </c>
      <c r="X13" s="26" t="inlineStr">
        <is>
          <t>A well-proportioned sport sedan offering superior driving manners and efficiency over conventional crossovers.</t>
        </is>
      </c>
      <c r="Y13" s="27" t="inlineStr">
        <is>
          <t>https://hips.hearstapps.com/hmg-prod/images/2026-alfa-romeo-giulia.jpg</t>
        </is>
      </c>
      <c r="Z13" s="27" t="inlineStr">
        <is>
          <t>https://www.caranddriver.com/alfa-romeo/giulia-quadrifoglio</t>
        </is>
      </c>
      <c r="AA13" s="17" t="inlineStr">
        <is>
          <t>Car and Driver Editors' Choice</t>
        </is>
      </c>
    </row>
    <row r="14" ht="48" customHeight="1">
      <c r="A14" s="4" t="n">
        <v>2026</v>
      </c>
      <c r="B14" s="5" t="inlineStr">
        <is>
          <t>Alfa Romeo</t>
        </is>
      </c>
      <c r="C14" s="5" t="inlineStr">
        <is>
          <t>Stelvio</t>
        </is>
      </c>
      <c r="D14" s="5" t="inlineStr">
        <is>
          <t>Quadrifoglio</t>
        </is>
      </c>
      <c r="E14" s="5" t="inlineStr">
        <is>
          <t>Sport Luxury SUV</t>
        </is>
      </c>
      <c r="F14" s="5" t="inlineStr">
        <is>
          <t>Gasoline</t>
        </is>
      </c>
      <c r="G14" s="6" t="n">
        <v>89870</v>
      </c>
      <c r="H14" s="7" t="n">
        <v>505</v>
      </c>
      <c r="I14" s="7" t="n">
        <v>443</v>
      </c>
      <c r="J14" s="5" t="inlineStr">
        <is>
          <t>2.9L Twin-Turbo V6</t>
        </is>
      </c>
      <c r="K14" s="8" t="n">
        <v>2.9</v>
      </c>
      <c r="L14" s="4" t="n">
        <v>6</v>
      </c>
      <c r="M14" s="5" t="inlineStr">
        <is>
          <t>8-Speed Auto</t>
        </is>
      </c>
      <c r="N14" s="4" t="inlineStr">
        <is>
          <t>AWD</t>
        </is>
      </c>
      <c r="O14" s="4" t="inlineStr">
        <is>
          <t>19 (17/23)</t>
        </is>
      </c>
      <c r="P14" s="4" t="inlineStr">
        <is>
          <t>N/A</t>
        </is>
      </c>
      <c r="Q14" s="9" t="inlineStr">
        <is>
          <t>N/A</t>
        </is>
      </c>
      <c r="R14" s="4" t="n">
        <v>5</v>
      </c>
      <c r="S14" s="10" t="n">
        <v>18.5</v>
      </c>
      <c r="T14" s="7" t="n">
        <v>3000</v>
      </c>
      <c r="U14" s="11" t="inlineStr">
        <is>
          <t>9.0/10</t>
        </is>
      </c>
      <c r="V14" s="12" t="inlineStr">
        <is>
          <t xml:space="preserve"> • Spacious passenger and cargo room
 • Commanding elevated driving position
 • Confidence-inspiring all-weather grip</t>
        </is>
      </c>
      <c r="W14" s="13" t="inlineStr">
        <is>
          <t xml:space="preserve"> • Higher center of gravity than sedans
 • Fuel consumption under heavy load
 • Less engaging steering feel</t>
        </is>
      </c>
      <c r="X14" s="14" t="inlineStr">
        <is>
          <t>A highly versatile sport luxury suv that delivers generous space, modern safety tech, and daily utility.</t>
        </is>
      </c>
      <c r="Y14" s="15" t="inlineStr">
        <is>
          <t>https://hips.hearstapps.com/hmg-prod/images/2026-alfa-romeo-stelvio.jpg</t>
        </is>
      </c>
      <c r="Z14" s="15" t="inlineStr">
        <is>
          <t>https://www.caranddriver.com/alfa-romeo/stelvio-quadrifoglio</t>
        </is>
      </c>
      <c r="AA14" s="5" t="inlineStr">
        <is>
          <t>Car and Driver Editors' Choice</t>
        </is>
      </c>
    </row>
    <row r="15" ht="48" customHeight="1">
      <c r="A15" s="16" t="n">
        <v>2026</v>
      </c>
      <c r="B15" s="17" t="inlineStr">
        <is>
          <t>Alfa Romeo</t>
        </is>
      </c>
      <c r="C15" s="17" t="inlineStr">
        <is>
          <t>Tonale</t>
        </is>
      </c>
      <c r="D15" s="17" t="inlineStr">
        <is>
          <t>Veloce eAWD</t>
        </is>
      </c>
      <c r="E15" s="17" t="inlineStr">
        <is>
          <t>Subcompact Luxury Crossover</t>
        </is>
      </c>
      <c r="F15" s="17" t="inlineStr">
        <is>
          <t>PHEV</t>
        </is>
      </c>
      <c r="G15" s="18" t="n">
        <v>49590</v>
      </c>
      <c r="H15" s="19" t="n">
        <v>285</v>
      </c>
      <c r="I15" s="19" t="n">
        <v>347</v>
      </c>
      <c r="J15" s="17" t="inlineStr">
        <is>
          <t>1.3L Turbo I4 + Motor</t>
        </is>
      </c>
      <c r="K15" s="20" t="n">
        <v>1.3</v>
      </c>
      <c r="L15" s="16" t="n">
        <v>4</v>
      </c>
      <c r="M15" s="17" t="inlineStr">
        <is>
          <t>6-Speed Auto</t>
        </is>
      </c>
      <c r="N15" s="16" t="inlineStr">
        <is>
          <t>AWD</t>
        </is>
      </c>
      <c r="O15" s="16" t="inlineStr">
        <is>
          <t>77 MPGe / 29 Comb</t>
        </is>
      </c>
      <c r="P15" s="16" t="inlineStr">
        <is>
          <t>33</t>
        </is>
      </c>
      <c r="Q15" s="22" t="n">
        <v>15.5</v>
      </c>
      <c r="R15" s="16" t="n">
        <v>5</v>
      </c>
      <c r="S15" s="22" t="n">
        <v>22.9</v>
      </c>
      <c r="T15" s="19" t="n">
        <v>2000</v>
      </c>
      <c r="U15" s="28" t="inlineStr">
        <is>
          <t>8.0/10</t>
        </is>
      </c>
      <c r="V15" s="24" t="inlineStr">
        <is>
          <t xml:space="preserve"> • Superb real-world fuel economy
 • Smooth electric-gas power handover
 • No range anxiety on long trips</t>
        </is>
      </c>
      <c r="W15" s="25" t="inlineStr">
        <is>
          <t xml:space="preserve"> • Added curb weight from battery packs
 • Slightly compromised cargo space
 • eCVT engine flare during passing</t>
        </is>
      </c>
      <c r="X15" s="26" t="inlineStr">
        <is>
          <t>A finely engineered phev subcompact luxury crossover striking the optimal balance between high efficiency and long-distance practicality.</t>
        </is>
      </c>
      <c r="Y15" s="27" t="inlineStr">
        <is>
          <t>https://hips.hearstapps.com/hmg-prod/images/2026-alfa-romeo-tonale.jpg</t>
        </is>
      </c>
      <c r="Z15" s="27" t="inlineStr">
        <is>
          <t>https://www.caranddriver.com/alfa-romeo/tonale</t>
        </is>
      </c>
      <c r="AA15" s="17" t="inlineStr">
        <is>
          <t>Car and Driver Buyer's Guide</t>
        </is>
      </c>
    </row>
    <row r="16" ht="48" customHeight="1">
      <c r="A16" s="4" t="n">
        <v>2026</v>
      </c>
      <c r="B16" s="5" t="inlineStr">
        <is>
          <t>Aston Martin</t>
        </is>
      </c>
      <c r="C16" s="5" t="inlineStr">
        <is>
          <t>Vantage</t>
        </is>
      </c>
      <c r="D16" s="5" t="inlineStr">
        <is>
          <t>Coupe Base</t>
        </is>
      </c>
      <c r="E16" s="5" t="inlineStr">
        <is>
          <t>Grand Tourer Coupe</t>
        </is>
      </c>
      <c r="F16" s="5" t="inlineStr">
        <is>
          <t>Gasoline</t>
        </is>
      </c>
      <c r="G16" s="6" t="n">
        <v>194400</v>
      </c>
      <c r="H16" s="7" t="n">
        <v>656</v>
      </c>
      <c r="I16" s="7" t="n">
        <v>590</v>
      </c>
      <c r="J16" s="5" t="inlineStr">
        <is>
          <t>4.0L Twin-Turbo V8</t>
        </is>
      </c>
      <c r="K16" s="8" t="n">
        <v>4</v>
      </c>
      <c r="L16" s="4" t="n">
        <v>8</v>
      </c>
      <c r="M16" s="5" t="inlineStr">
        <is>
          <t>8-Speed Auto (ZF)</t>
        </is>
      </c>
      <c r="N16" s="4" t="inlineStr">
        <is>
          <t>RWD</t>
        </is>
      </c>
      <c r="O16" s="4" t="inlineStr">
        <is>
          <t>18 (15/22)</t>
        </is>
      </c>
      <c r="P16" s="4" t="inlineStr">
        <is>
          <t>N/A</t>
        </is>
      </c>
      <c r="Q16" s="9" t="inlineStr">
        <is>
          <t>N/A</t>
        </is>
      </c>
      <c r="R16" s="4" t="n">
        <v>2</v>
      </c>
      <c r="S16" s="10" t="n">
        <v>10</v>
      </c>
      <c r="T16" s="4" t="inlineStr">
        <is>
          <t>N/A</t>
        </is>
      </c>
      <c r="U16" s="11" t="inlineStr">
        <is>
          <t>9.0/10</t>
        </is>
      </c>
      <c r="V16" s="12" t="inlineStr">
        <is>
          <t xml:space="preserve"> • Refined performance and chassis poise
 • Comfortable ergonomic cabin
 • Comprehensive safety suite</t>
        </is>
      </c>
      <c r="W16" s="13" t="inlineStr">
        <is>
          <t xml:space="preserve"> • Firm ride on optional large wheels
 • Option packages add up quickly
 • Infotainment learning curve</t>
        </is>
      </c>
      <c r="X16" s="14" t="inlineStr">
        <is>
          <t>A solid, well-rounded contender in the US grand tourer coupe class with competitive dynamics.</t>
        </is>
      </c>
      <c r="Y16" s="15" t="inlineStr">
        <is>
          <t>https://hips.hearstapps.com/hmg-prod/images/2026-aston-martin-vantage.jpg</t>
        </is>
      </c>
      <c r="Z16" s="15" t="inlineStr">
        <is>
          <t>https://www.caranddriver.com/aston-martin/vantage</t>
        </is>
      </c>
      <c r="AA16" s="5" t="inlineStr">
        <is>
          <t>Car and Driver First Drive</t>
        </is>
      </c>
    </row>
    <row r="17" ht="48" customHeight="1">
      <c r="A17" s="16" t="n">
        <v>2026</v>
      </c>
      <c r="B17" s="17" t="inlineStr">
        <is>
          <t>Aston Martin</t>
        </is>
      </c>
      <c r="C17" s="17" t="inlineStr">
        <is>
          <t>DB12</t>
        </is>
      </c>
      <c r="D17" s="17" t="inlineStr">
        <is>
          <t>Coupe Base</t>
        </is>
      </c>
      <c r="E17" s="17" t="inlineStr">
        <is>
          <t>Super Tourer</t>
        </is>
      </c>
      <c r="F17" s="17" t="inlineStr">
        <is>
          <t>Gasoline</t>
        </is>
      </c>
      <c r="G17" s="18" t="n">
        <v>250000</v>
      </c>
      <c r="H17" s="19" t="n">
        <v>671</v>
      </c>
      <c r="I17" s="19" t="n">
        <v>590</v>
      </c>
      <c r="J17" s="17" t="inlineStr">
        <is>
          <t>4.0L Twin-Turbo V8</t>
        </is>
      </c>
      <c r="K17" s="20" t="n">
        <v>4</v>
      </c>
      <c r="L17" s="16" t="n">
        <v>8</v>
      </c>
      <c r="M17" s="17" t="inlineStr">
        <is>
          <t>8-Speed Auto</t>
        </is>
      </c>
      <c r="N17" s="16" t="inlineStr">
        <is>
          <t>RWD</t>
        </is>
      </c>
      <c r="O17" s="16" t="inlineStr">
        <is>
          <t>17 (14/22)</t>
        </is>
      </c>
      <c r="P17" s="16" t="inlineStr">
        <is>
          <t>N/A</t>
        </is>
      </c>
      <c r="Q17" s="21" t="inlineStr">
        <is>
          <t>N/A</t>
        </is>
      </c>
      <c r="R17" s="16" t="n">
        <v>4</v>
      </c>
      <c r="S17" s="22" t="n">
        <v>9.199999999999999</v>
      </c>
      <c r="T17" s="16" t="inlineStr">
        <is>
          <t>N/A</t>
        </is>
      </c>
      <c r="U17" s="28" t="inlineStr">
        <is>
          <t>9.0/10</t>
        </is>
      </c>
      <c r="V17" s="24" t="inlineStr">
        <is>
          <t xml:space="preserve"> • Refined performance and chassis poise
 • Comfortable ergonomic cabin
 • Comprehensive safety suite</t>
        </is>
      </c>
      <c r="W17" s="25" t="inlineStr">
        <is>
          <t xml:space="preserve"> • Firm ride on optional large wheels
 • Option packages add up quickly
 • Infotainment learning curve</t>
        </is>
      </c>
      <c r="X17" s="26" t="inlineStr">
        <is>
          <t>A solid, well-rounded contender in the US super tourer class with competitive dynamics.</t>
        </is>
      </c>
      <c r="Y17" s="27" t="inlineStr">
        <is>
          <t>https://hips.hearstapps.com/hmg-prod/images/2026-aston-martin-db12.jpg</t>
        </is>
      </c>
      <c r="Z17" s="27" t="inlineStr">
        <is>
          <t>https://www.caranddriver.com/aston-martin/db12</t>
        </is>
      </c>
      <c r="AA17" s="17" t="inlineStr">
        <is>
          <t>Car and Driver Review</t>
        </is>
      </c>
    </row>
    <row r="18" ht="48" customHeight="1">
      <c r="A18" s="4" t="n">
        <v>2026</v>
      </c>
      <c r="B18" s="5" t="inlineStr">
        <is>
          <t>Aston Martin</t>
        </is>
      </c>
      <c r="C18" s="5" t="inlineStr">
        <is>
          <t>Vanquish</t>
        </is>
      </c>
      <c r="D18" s="5" t="inlineStr">
        <is>
          <t>Base V12</t>
        </is>
      </c>
      <c r="E18" s="5" t="inlineStr">
        <is>
          <t>Flagship Super GT</t>
        </is>
      </c>
      <c r="F18" s="5" t="inlineStr">
        <is>
          <t>Gasoline</t>
        </is>
      </c>
      <c r="G18" s="6" t="n">
        <v>429000</v>
      </c>
      <c r="H18" s="7" t="n">
        <v>824</v>
      </c>
      <c r="I18" s="7" t="n">
        <v>738</v>
      </c>
      <c r="J18" s="5" t="inlineStr">
        <is>
          <t>5.2L Twin-Turbo V12</t>
        </is>
      </c>
      <c r="K18" s="8" t="n">
        <v>5.2</v>
      </c>
      <c r="L18" s="4" t="n">
        <v>12</v>
      </c>
      <c r="M18" s="5" t="inlineStr">
        <is>
          <t>8-Speed Auto</t>
        </is>
      </c>
      <c r="N18" s="4" t="inlineStr">
        <is>
          <t>RWD</t>
        </is>
      </c>
      <c r="O18" s="4" t="inlineStr">
        <is>
          <t>14 (12/18 Est)</t>
        </is>
      </c>
      <c r="P18" s="4" t="inlineStr">
        <is>
          <t>N/A</t>
        </is>
      </c>
      <c r="Q18" s="9" t="inlineStr">
        <is>
          <t>N/A</t>
        </is>
      </c>
      <c r="R18" s="4" t="n">
        <v>2</v>
      </c>
      <c r="S18" s="10" t="n">
        <v>8.800000000000001</v>
      </c>
      <c r="T18" s="4" t="inlineStr">
        <is>
          <t>N/A</t>
        </is>
      </c>
      <c r="U18" s="29" t="inlineStr">
        <is>
          <t>9.5/10</t>
        </is>
      </c>
      <c r="V18" s="12" t="inlineStr">
        <is>
          <t xml:space="preserve"> • Refined performance and chassis poise
 • Comfortable ergonomic cabin
 • Comprehensive safety suite</t>
        </is>
      </c>
      <c r="W18" s="13" t="inlineStr">
        <is>
          <t xml:space="preserve"> • Firm ride on optional large wheels
 • Option packages add up quickly
 • Infotainment learning curve</t>
        </is>
      </c>
      <c r="X18" s="14" t="inlineStr">
        <is>
          <t>A solid, well-rounded contender in the US flagship super gt class with competitive dynamics.</t>
        </is>
      </c>
      <c r="Y18" s="15" t="inlineStr">
        <is>
          <t>https://hips.hearstapps.com/hmg-prod/images/2026-aston-martin-vanquish.jpg</t>
        </is>
      </c>
      <c r="Z18" s="15" t="inlineStr">
        <is>
          <t>https://www.caranddriver.com/aston-martin/vanquish</t>
        </is>
      </c>
      <c r="AA18" s="5" t="inlineStr">
        <is>
          <t>Car and Driver First Look</t>
        </is>
      </c>
    </row>
    <row r="19" ht="48" customHeight="1">
      <c r="A19" s="16" t="n">
        <v>2026</v>
      </c>
      <c r="B19" s="17" t="inlineStr">
        <is>
          <t>Aston Martin</t>
        </is>
      </c>
      <c r="C19" s="17" t="inlineStr">
        <is>
          <t>DBX</t>
        </is>
      </c>
      <c r="D19" s="17" t="inlineStr">
        <is>
          <t>DBX707</t>
        </is>
      </c>
      <c r="E19" s="17" t="inlineStr">
        <is>
          <t>Ultra-Luxury SUV</t>
        </is>
      </c>
      <c r="F19" s="17" t="inlineStr">
        <is>
          <t>Gasoline</t>
        </is>
      </c>
      <c r="G19" s="18" t="n">
        <v>253000</v>
      </c>
      <c r="H19" s="19" t="n">
        <v>697</v>
      </c>
      <c r="I19" s="19" t="n">
        <v>663</v>
      </c>
      <c r="J19" s="17" t="inlineStr">
        <is>
          <t>4.0L Twin-Turbo AMG V8</t>
        </is>
      </c>
      <c r="K19" s="20" t="n">
        <v>4</v>
      </c>
      <c r="L19" s="16" t="n">
        <v>8</v>
      </c>
      <c r="M19" s="17" t="inlineStr">
        <is>
          <t>9-Speed Wet-Clutch</t>
        </is>
      </c>
      <c r="N19" s="16" t="inlineStr">
        <is>
          <t>AWD</t>
        </is>
      </c>
      <c r="O19" s="16" t="inlineStr">
        <is>
          <t>17 (15/20)</t>
        </is>
      </c>
      <c r="P19" s="16" t="inlineStr">
        <is>
          <t>N/A</t>
        </is>
      </c>
      <c r="Q19" s="21" t="inlineStr">
        <is>
          <t>N/A</t>
        </is>
      </c>
      <c r="R19" s="16" t="n">
        <v>5</v>
      </c>
      <c r="S19" s="22" t="n">
        <v>22.5</v>
      </c>
      <c r="T19" s="19" t="n">
        <v>5940</v>
      </c>
      <c r="U19" s="28" t="inlineStr">
        <is>
          <t>9.0/10</t>
        </is>
      </c>
      <c r="V19" s="24" t="inlineStr">
        <is>
          <t xml:space="preserve"> • Spacious passenger and cargo room
 • Commanding elevated driving position
 • Confidence-inspiring all-weather grip</t>
        </is>
      </c>
      <c r="W19" s="25" t="inlineStr">
        <is>
          <t xml:space="preserve"> • Higher center of gravity than sedans
 • Fuel consumption under heavy load
 • Less engaging steering feel</t>
        </is>
      </c>
      <c r="X19" s="26" t="inlineStr">
        <is>
          <t>A highly versatile ultra-luxury suv that delivers generous space, modern safety tech, and daily utility.</t>
        </is>
      </c>
      <c r="Y19" s="27" t="inlineStr">
        <is>
          <t>https://hips.hearstapps.com/hmg-prod/images/2026-aston-martin-dbx.jpg</t>
        </is>
      </c>
      <c r="Z19" s="27" t="inlineStr">
        <is>
          <t>https://www.caranddriver.com/aston-martin/dbx</t>
        </is>
      </c>
      <c r="AA19" s="17" t="inlineStr">
        <is>
          <t>Car and Driver Buyer's Guide</t>
        </is>
      </c>
    </row>
    <row r="20" ht="48" customHeight="1">
      <c r="A20" s="4" t="n">
        <v>2026</v>
      </c>
      <c r="B20" s="5" t="inlineStr">
        <is>
          <t>Audi</t>
        </is>
      </c>
      <c r="C20" s="5" t="inlineStr">
        <is>
          <t>A3</t>
        </is>
      </c>
      <c r="D20" s="5" t="inlineStr">
        <is>
          <t>Premium 40 TFSI</t>
        </is>
      </c>
      <c r="E20" s="5" t="inlineStr">
        <is>
          <t>Subcompact Luxury Sedan</t>
        </is>
      </c>
      <c r="F20" s="5" t="inlineStr">
        <is>
          <t>Mild Hybrid</t>
        </is>
      </c>
      <c r="G20" s="6" t="n">
        <v>40000</v>
      </c>
      <c r="H20" s="7" t="n">
        <v>201</v>
      </c>
      <c r="I20" s="7" t="n">
        <v>221</v>
      </c>
      <c r="J20" s="5" t="inlineStr">
        <is>
          <t>2.0L Turbo I4 48V</t>
        </is>
      </c>
      <c r="K20" s="8" t="n">
        <v>2</v>
      </c>
      <c r="L20" s="4" t="n">
        <v>4</v>
      </c>
      <c r="M20" s="5" t="inlineStr">
        <is>
          <t>7-Speed DSG</t>
        </is>
      </c>
      <c r="N20" s="4" t="inlineStr">
        <is>
          <t>AWD</t>
        </is>
      </c>
      <c r="O20" s="4" t="inlineStr">
        <is>
          <t>30 (27/35)</t>
        </is>
      </c>
      <c r="P20" s="4" t="inlineStr">
        <is>
          <t>N/A</t>
        </is>
      </c>
      <c r="Q20" s="9" t="inlineStr">
        <is>
          <t>N/A</t>
        </is>
      </c>
      <c r="R20" s="4" t="n">
        <v>5</v>
      </c>
      <c r="S20" s="10" t="n">
        <v>10.9</v>
      </c>
      <c r="T20" s="4" t="inlineStr">
        <is>
          <t>N/A</t>
        </is>
      </c>
      <c r="U20" s="11" t="inlineStr">
        <is>
          <t>9.0/10</t>
        </is>
      </c>
      <c r="V20" s="12" t="inlineStr">
        <is>
          <t xml:space="preserve"> • Superb real-world fuel economy
 • Smooth electric-gas power handover
 • No range anxiety on long trips</t>
        </is>
      </c>
      <c r="W20" s="13" t="inlineStr">
        <is>
          <t xml:space="preserve"> • Added curb weight from battery packs
 • Slightly compromised cargo space
 • eCVT engine flare during passing</t>
        </is>
      </c>
      <c r="X20" s="14" t="inlineStr">
        <is>
          <t>A finely engineered mild hybrid subcompact luxury sedan striking the optimal balance between high efficiency and long-distance practicality.</t>
        </is>
      </c>
      <c r="Y20" s="15" t="inlineStr">
        <is>
          <t>https://hips.hearstapps.com/hmg-prod/images/2026-audi-a3.jpg</t>
        </is>
      </c>
      <c r="Z20" s="15" t="inlineStr">
        <is>
          <t>https://www.caranddriver.com/audi/a3</t>
        </is>
      </c>
      <c r="AA20" s="5" t="inlineStr">
        <is>
          <t>Car and Driver Editors' Choice</t>
        </is>
      </c>
    </row>
    <row r="21" ht="48" customHeight="1">
      <c r="A21" s="16" t="n">
        <v>2026</v>
      </c>
      <c r="B21" s="17" t="inlineStr">
        <is>
          <t>Audi</t>
        </is>
      </c>
      <c r="C21" s="17" t="inlineStr">
        <is>
          <t>S3</t>
        </is>
      </c>
      <c r="D21" s="17" t="inlineStr">
        <is>
          <t>Premium Plus</t>
        </is>
      </c>
      <c r="E21" s="17" t="inlineStr">
        <is>
          <t>Sport Compact Sedan</t>
        </is>
      </c>
      <c r="F21" s="17" t="inlineStr">
        <is>
          <t>Gasoline</t>
        </is>
      </c>
      <c r="G21" s="18" t="n">
        <v>49500</v>
      </c>
      <c r="H21" s="19" t="n">
        <v>328</v>
      </c>
      <c r="I21" s="19" t="n">
        <v>310</v>
      </c>
      <c r="J21" s="17" t="inlineStr">
        <is>
          <t>2.0L Turbo I4</t>
        </is>
      </c>
      <c r="K21" s="20" t="n">
        <v>2</v>
      </c>
      <c r="L21" s="16" t="n">
        <v>4</v>
      </c>
      <c r="M21" s="17" t="inlineStr">
        <is>
          <t>7-Speed DSG</t>
        </is>
      </c>
      <c r="N21" s="16" t="inlineStr">
        <is>
          <t>quattro AWD</t>
        </is>
      </c>
      <c r="O21" s="16" t="inlineStr">
        <is>
          <t>26 (23/32)</t>
        </is>
      </c>
      <c r="P21" s="16" t="inlineStr">
        <is>
          <t>N/A</t>
        </is>
      </c>
      <c r="Q21" s="21" t="inlineStr">
        <is>
          <t>N/A</t>
        </is>
      </c>
      <c r="R21" s="16" t="n">
        <v>5</v>
      </c>
      <c r="S21" s="22" t="n">
        <v>8.300000000000001</v>
      </c>
      <c r="T21" s="16" t="inlineStr">
        <is>
          <t>N/A</t>
        </is>
      </c>
      <c r="U21" s="28" t="inlineStr">
        <is>
          <t>9.0/10</t>
        </is>
      </c>
      <c r="V21" s="24" t="inlineStr">
        <is>
          <t xml:space="preserve"> • Sharper handling dynamics than taller SUVs
 • Superior highway fuel economy
 • Easy maneuvering in urban spaces</t>
        </is>
      </c>
      <c r="W21" s="25" t="inlineStr">
        <is>
          <t xml:space="preserve"> • Less cargo flexibility than crossovers
 • Lower seating hip point for ingress
 • Fewer AWD options</t>
        </is>
      </c>
      <c r="X21" s="26" t="inlineStr">
        <is>
          <t>A well-proportioned sport compact sedan offering superior driving manners and efficiency over conventional crossovers.</t>
        </is>
      </c>
      <c r="Y21" s="27" t="inlineStr">
        <is>
          <t>https://hips.hearstapps.com/hmg-prod/images/2026-audi-s3.jpg</t>
        </is>
      </c>
      <c r="Z21" s="27" t="inlineStr">
        <is>
          <t>https://www.caranddriver.com/audi/s3</t>
        </is>
      </c>
      <c r="AA21" s="17" t="inlineStr">
        <is>
          <t>Car and Driver Editors' Choice</t>
        </is>
      </c>
    </row>
    <row r="22" ht="48" customHeight="1">
      <c r="A22" s="4" t="n">
        <v>2026</v>
      </c>
      <c r="B22" s="5" t="inlineStr">
        <is>
          <t>Audi</t>
        </is>
      </c>
      <c r="C22" s="5" t="inlineStr">
        <is>
          <t>RS3</t>
        </is>
      </c>
      <c r="D22" s="5" t="inlineStr">
        <is>
          <t>Sedan Base</t>
        </is>
      </c>
      <c r="E22" s="5" t="inlineStr">
        <is>
          <t>High-Perf Compact Sedan</t>
        </is>
      </c>
      <c r="F22" s="5" t="inlineStr">
        <is>
          <t>Gasoline</t>
        </is>
      </c>
      <c r="G22" s="6" t="n">
        <v>63500</v>
      </c>
      <c r="H22" s="7" t="n">
        <v>401</v>
      </c>
      <c r="I22" s="7" t="n">
        <v>369</v>
      </c>
      <c r="J22" s="5" t="inlineStr">
        <is>
          <t>2.5L Turbo Inline-5</t>
        </is>
      </c>
      <c r="K22" s="8" t="n">
        <v>2.5</v>
      </c>
      <c r="L22" s="4" t="n">
        <v>5</v>
      </c>
      <c r="M22" s="5" t="inlineStr">
        <is>
          <t>7-Speed DSG</t>
        </is>
      </c>
      <c r="N22" s="4" t="inlineStr">
        <is>
          <t>quattro AWD</t>
        </is>
      </c>
      <c r="O22" s="4" t="inlineStr">
        <is>
          <t>23 (19/29)</t>
        </is>
      </c>
      <c r="P22" s="4" t="inlineStr">
        <is>
          <t>N/A</t>
        </is>
      </c>
      <c r="Q22" s="9" t="inlineStr">
        <is>
          <t>N/A</t>
        </is>
      </c>
      <c r="R22" s="4" t="n">
        <v>5</v>
      </c>
      <c r="S22" s="10" t="n">
        <v>8.300000000000001</v>
      </c>
      <c r="T22" s="4" t="inlineStr">
        <is>
          <t>N/A</t>
        </is>
      </c>
      <c r="U22" s="29" t="inlineStr">
        <is>
          <t>9.5/10</t>
        </is>
      </c>
      <c r="V22" s="12" t="inlineStr">
        <is>
          <t xml:space="preserve"> • Sharper handling dynamics than taller SUVs
 • Superior highway fuel economy
 • Easy maneuvering in urban spaces</t>
        </is>
      </c>
      <c r="W22" s="13" t="inlineStr">
        <is>
          <t xml:space="preserve"> • Less cargo flexibility than crossovers
 • Lower seating hip point for ingress
 • Fewer AWD options</t>
        </is>
      </c>
      <c r="X22" s="14" t="inlineStr">
        <is>
          <t>A well-proportioned high-perf compact sedan offering superior driving manners and efficiency over conventional crossovers.</t>
        </is>
      </c>
      <c r="Y22" s="15" t="inlineStr">
        <is>
          <t>https://hips.hearstapps.com/hmg-prod/images/2026-audi-rs3.jpg</t>
        </is>
      </c>
      <c r="Z22" s="15" t="inlineStr">
        <is>
          <t>https://www.caranddriver.com/audi/rs3</t>
        </is>
      </c>
      <c r="AA22" s="5" t="inlineStr">
        <is>
          <t>Car and Driver 10Best</t>
        </is>
      </c>
    </row>
    <row r="23" ht="48" customHeight="1">
      <c r="A23" s="16" t="n">
        <v>2026</v>
      </c>
      <c r="B23" s="17" t="inlineStr">
        <is>
          <t>Audi</t>
        </is>
      </c>
      <c r="C23" s="17" t="inlineStr">
        <is>
          <t>A5</t>
        </is>
      </c>
      <c r="D23" s="17" t="inlineStr">
        <is>
          <t>Sedan Premium Plus</t>
        </is>
      </c>
      <c r="E23" s="17" t="inlineStr">
        <is>
          <t>Compact Executive Sedan</t>
        </is>
      </c>
      <c r="F23" s="17" t="inlineStr">
        <is>
          <t>Mild Hybrid</t>
        </is>
      </c>
      <c r="G23" s="18" t="n">
        <v>49000</v>
      </c>
      <c r="H23" s="19" t="n">
        <v>268</v>
      </c>
      <c r="I23" s="19" t="n">
        <v>295</v>
      </c>
      <c r="J23" s="17" t="inlineStr">
        <is>
          <t>2.0L Turbo I4 48V</t>
        </is>
      </c>
      <c r="K23" s="20" t="n">
        <v>2</v>
      </c>
      <c r="L23" s="16" t="n">
        <v>4</v>
      </c>
      <c r="M23" s="17" t="inlineStr">
        <is>
          <t>7-Speed Dual-Clutch</t>
        </is>
      </c>
      <c r="N23" s="16" t="inlineStr">
        <is>
          <t>quattro AWD</t>
        </is>
      </c>
      <c r="O23" s="16" t="inlineStr">
        <is>
          <t>28 (24/33)</t>
        </is>
      </c>
      <c r="P23" s="16" t="inlineStr">
        <is>
          <t>N/A</t>
        </is>
      </c>
      <c r="Q23" s="21" t="inlineStr">
        <is>
          <t>N/A</t>
        </is>
      </c>
      <c r="R23" s="16" t="n">
        <v>5</v>
      </c>
      <c r="S23" s="22" t="n">
        <v>12</v>
      </c>
      <c r="T23" s="16" t="inlineStr">
        <is>
          <t>N/A</t>
        </is>
      </c>
      <c r="U23" s="28" t="inlineStr">
        <is>
          <t>9.0/10</t>
        </is>
      </c>
      <c r="V23" s="24" t="inlineStr">
        <is>
          <t xml:space="preserve"> • Superb real-world fuel economy
 • Smooth electric-gas power handover
 • No range anxiety on long trips</t>
        </is>
      </c>
      <c r="W23" s="25" t="inlineStr">
        <is>
          <t xml:space="preserve"> • Added curb weight from battery packs
 • Slightly compromised cargo space
 • eCVT engine flare during passing</t>
        </is>
      </c>
      <c r="X23" s="26" t="inlineStr">
        <is>
          <t>A finely engineered mild hybrid compact executive sedan striking the optimal balance between high efficiency and long-distance practicality.</t>
        </is>
      </c>
      <c r="Y23" s="27" t="inlineStr">
        <is>
          <t>https://hips.hearstapps.com/hmg-prod/images/2026-audi-a5.jpg</t>
        </is>
      </c>
      <c r="Z23" s="27" t="inlineStr">
        <is>
          <t>https://www.caranddriver.com/audi/a5</t>
        </is>
      </c>
      <c r="AA23" s="17" t="inlineStr">
        <is>
          <t>Car and Driver First Look</t>
        </is>
      </c>
    </row>
    <row r="24" ht="48" customHeight="1">
      <c r="A24" s="4" t="n">
        <v>2026</v>
      </c>
      <c r="B24" s="5" t="inlineStr">
        <is>
          <t>Audi</t>
        </is>
      </c>
      <c r="C24" s="5" t="inlineStr">
        <is>
          <t>S5</t>
        </is>
      </c>
      <c r="D24" s="5" t="inlineStr">
        <is>
          <t>Sedan Prestige</t>
        </is>
      </c>
      <c r="E24" s="5" t="inlineStr">
        <is>
          <t>Sport Executive Sedan</t>
        </is>
      </c>
      <c r="F24" s="5" t="inlineStr">
        <is>
          <t>Mild Hybrid</t>
        </is>
      </c>
      <c r="G24" s="6" t="n">
        <v>64000</v>
      </c>
      <c r="H24" s="7" t="n">
        <v>362</v>
      </c>
      <c r="I24" s="7" t="n">
        <v>406</v>
      </c>
      <c r="J24" s="5" t="inlineStr">
        <is>
          <t>3.0L Turbo V6 48V</t>
        </is>
      </c>
      <c r="K24" s="8" t="n">
        <v>3</v>
      </c>
      <c r="L24" s="4" t="n">
        <v>6</v>
      </c>
      <c r="M24" s="5" t="inlineStr">
        <is>
          <t>7-Speed Dual-Clutch</t>
        </is>
      </c>
      <c r="N24" s="4" t="inlineStr">
        <is>
          <t>quattro AWD</t>
        </is>
      </c>
      <c r="O24" s="4" t="inlineStr">
        <is>
          <t>24 (21/29)</t>
        </is>
      </c>
      <c r="P24" s="4" t="inlineStr">
        <is>
          <t>N/A</t>
        </is>
      </c>
      <c r="Q24" s="9" t="inlineStr">
        <is>
          <t>N/A</t>
        </is>
      </c>
      <c r="R24" s="4" t="n">
        <v>5</v>
      </c>
      <c r="S24" s="10" t="n">
        <v>12</v>
      </c>
      <c r="T24" s="4" t="inlineStr">
        <is>
          <t>N/A</t>
        </is>
      </c>
      <c r="U24" s="11" t="inlineStr">
        <is>
          <t>9.0/10</t>
        </is>
      </c>
      <c r="V24" s="12" t="inlineStr">
        <is>
          <t xml:space="preserve"> • Superb real-world fuel economy
 • Smooth electric-gas power handover
 • No range anxiety on long trips</t>
        </is>
      </c>
      <c r="W24" s="13" t="inlineStr">
        <is>
          <t xml:space="preserve"> • Added curb weight from battery packs
 • Slightly compromised cargo space
 • eCVT engine flare during passing</t>
        </is>
      </c>
      <c r="X24" s="14" t="inlineStr">
        <is>
          <t>A finely engineered mild hybrid sport executive sedan striking the optimal balance between high efficiency and long-distance practicality.</t>
        </is>
      </c>
      <c r="Y24" s="15" t="inlineStr">
        <is>
          <t>https://hips.hearstapps.com/hmg-prod/images/2026-audi-s5.jpg</t>
        </is>
      </c>
      <c r="Z24" s="15" t="inlineStr">
        <is>
          <t>https://www.caranddriver.com/audi/s5</t>
        </is>
      </c>
      <c r="AA24" s="5" t="inlineStr">
        <is>
          <t>Car and Driver First Look</t>
        </is>
      </c>
    </row>
    <row r="25" ht="48" customHeight="1">
      <c r="A25" s="16" t="n">
        <v>2026</v>
      </c>
      <c r="B25" s="17" t="inlineStr">
        <is>
          <t>Audi</t>
        </is>
      </c>
      <c r="C25" s="17" t="inlineStr">
        <is>
          <t>A6</t>
        </is>
      </c>
      <c r="D25" s="17" t="inlineStr">
        <is>
          <t>55 TFSI quattro</t>
        </is>
      </c>
      <c r="E25" s="17" t="inlineStr">
        <is>
          <t>Executive Sedan</t>
        </is>
      </c>
      <c r="F25" s="17" t="inlineStr">
        <is>
          <t>Mild Hybrid</t>
        </is>
      </c>
      <c r="G25" s="18" t="n">
        <v>62000</v>
      </c>
      <c r="H25" s="19" t="n">
        <v>335</v>
      </c>
      <c r="I25" s="19" t="n">
        <v>369</v>
      </c>
      <c r="J25" s="17" t="inlineStr">
        <is>
          <t>3.0L Turbo V6</t>
        </is>
      </c>
      <c r="K25" s="20" t="n">
        <v>3</v>
      </c>
      <c r="L25" s="16" t="n">
        <v>6</v>
      </c>
      <c r="M25" s="17" t="inlineStr">
        <is>
          <t>7-Speed DSG</t>
        </is>
      </c>
      <c r="N25" s="16" t="inlineStr">
        <is>
          <t>quattro AWD</t>
        </is>
      </c>
      <c r="O25" s="16" t="inlineStr">
        <is>
          <t>24 (21/30)</t>
        </is>
      </c>
      <c r="P25" s="16" t="inlineStr">
        <is>
          <t>N/A</t>
        </is>
      </c>
      <c r="Q25" s="21" t="inlineStr">
        <is>
          <t>N/A</t>
        </is>
      </c>
      <c r="R25" s="16" t="n">
        <v>5</v>
      </c>
      <c r="S25" s="22" t="n">
        <v>13.7</v>
      </c>
      <c r="T25" s="16" t="inlineStr">
        <is>
          <t>N/A</t>
        </is>
      </c>
      <c r="U25" s="28" t="inlineStr">
        <is>
          <t>8.5/10</t>
        </is>
      </c>
      <c r="V25" s="24" t="inlineStr">
        <is>
          <t xml:space="preserve"> • Superb real-world fuel economy
 • Smooth electric-gas power handover
 • No range anxiety on long trips</t>
        </is>
      </c>
      <c r="W25" s="25" t="inlineStr">
        <is>
          <t xml:space="preserve"> • Added curb weight from battery packs
 • Slightly compromised cargo space
 • eCVT engine flare during passing</t>
        </is>
      </c>
      <c r="X25" s="26" t="inlineStr">
        <is>
          <t>A finely engineered mild hybrid executive sedan striking the optimal balance between high efficiency and long-distance practicality.</t>
        </is>
      </c>
      <c r="Y25" s="27" t="inlineStr">
        <is>
          <t>https://hips.hearstapps.com/hmg-prod/images/2026-audi-a6.jpg</t>
        </is>
      </c>
      <c r="Z25" s="27" t="inlineStr">
        <is>
          <t>https://www.caranddriver.com/audi/a6</t>
        </is>
      </c>
      <c r="AA25" s="17" t="inlineStr">
        <is>
          <t>Car and Driver Buyer's Guide</t>
        </is>
      </c>
    </row>
    <row r="26" ht="48" customHeight="1">
      <c r="A26" s="4" t="n">
        <v>2026</v>
      </c>
      <c r="B26" s="5" t="inlineStr">
        <is>
          <t>Audi</t>
        </is>
      </c>
      <c r="C26" s="5" t="inlineStr">
        <is>
          <t>S6</t>
        </is>
      </c>
      <c r="D26" s="5" t="inlineStr">
        <is>
          <t>Premium Plus</t>
        </is>
      </c>
      <c r="E26" s="5" t="inlineStr">
        <is>
          <t>Performance Sedan</t>
        </is>
      </c>
      <c r="F26" s="5" t="inlineStr">
        <is>
          <t>Mild Hybrid</t>
        </is>
      </c>
      <c r="G26" s="6" t="n">
        <v>76000</v>
      </c>
      <c r="H26" s="7" t="n">
        <v>444</v>
      </c>
      <c r="I26" s="7" t="n">
        <v>442</v>
      </c>
      <c r="J26" s="5" t="inlineStr">
        <is>
          <t>2.9L Twin-Turbo V6</t>
        </is>
      </c>
      <c r="K26" s="8" t="n">
        <v>2.9</v>
      </c>
      <c r="L26" s="4" t="n">
        <v>6</v>
      </c>
      <c r="M26" s="5" t="inlineStr">
        <is>
          <t>8-Speed Auto</t>
        </is>
      </c>
      <c r="N26" s="4" t="inlineStr">
        <is>
          <t>quattro AWD</t>
        </is>
      </c>
      <c r="O26" s="4" t="inlineStr">
        <is>
          <t>22 (19/26)</t>
        </is>
      </c>
      <c r="P26" s="4" t="inlineStr">
        <is>
          <t>N/A</t>
        </is>
      </c>
      <c r="Q26" s="9" t="inlineStr">
        <is>
          <t>N/A</t>
        </is>
      </c>
      <c r="R26" s="4" t="n">
        <v>5</v>
      </c>
      <c r="S26" s="10" t="n">
        <v>13.7</v>
      </c>
      <c r="T26" s="4" t="inlineStr">
        <is>
          <t>N/A</t>
        </is>
      </c>
      <c r="U26" s="11" t="inlineStr">
        <is>
          <t>8.5/10</t>
        </is>
      </c>
      <c r="V26" s="12" t="inlineStr">
        <is>
          <t xml:space="preserve"> • Superb real-world fuel economy
 • Smooth electric-gas power handover
 • No range anxiety on long trips</t>
        </is>
      </c>
      <c r="W26" s="13" t="inlineStr">
        <is>
          <t xml:space="preserve"> • Added curb weight from battery packs
 • Slightly compromised cargo space
 • eCVT engine flare during passing</t>
        </is>
      </c>
      <c r="X26" s="14" t="inlineStr">
        <is>
          <t>A finely engineered mild hybrid performance sedan striking the optimal balance between high efficiency and long-distance practicality.</t>
        </is>
      </c>
      <c r="Y26" s="15" t="inlineStr">
        <is>
          <t>https://hips.hearstapps.com/hmg-prod/images/2026-audi-s6.jpg</t>
        </is>
      </c>
      <c r="Z26" s="15" t="inlineStr">
        <is>
          <t>https://www.caranddriver.com/audi/s6</t>
        </is>
      </c>
      <c r="AA26" s="5" t="inlineStr">
        <is>
          <t>Car and Driver Buyer's Guide</t>
        </is>
      </c>
    </row>
    <row r="27" ht="48" customHeight="1">
      <c r="A27" s="16" t="n">
        <v>2026</v>
      </c>
      <c r="B27" s="17" t="inlineStr">
        <is>
          <t>Audi</t>
        </is>
      </c>
      <c r="C27" s="17" t="inlineStr">
        <is>
          <t>A6 e-tron</t>
        </is>
      </c>
      <c r="D27" s="17" t="inlineStr">
        <is>
          <t>Performance quattro</t>
        </is>
      </c>
      <c r="E27" s="17" t="inlineStr">
        <is>
          <t>Executive EV Sedan</t>
        </is>
      </c>
      <c r="F27" s="17" t="inlineStr">
        <is>
          <t>Electric</t>
        </is>
      </c>
      <c r="G27" s="18" t="n">
        <v>75000</v>
      </c>
      <c r="H27" s="19" t="n">
        <v>456</v>
      </c>
      <c r="I27" s="19" t="n">
        <v>520</v>
      </c>
      <c r="J27" s="17" t="inlineStr">
        <is>
          <t>Dual Electric Motors</t>
        </is>
      </c>
      <c r="K27" s="16" t="inlineStr">
        <is>
          <t>N/A</t>
        </is>
      </c>
      <c r="L27" s="16" t="n">
        <v>0</v>
      </c>
      <c r="M27" s="17" t="inlineStr">
        <is>
          <t>1-Speed Direct</t>
        </is>
      </c>
      <c r="N27" s="16" t="inlineStr">
        <is>
          <t>quattro AWD</t>
        </is>
      </c>
      <c r="O27" s="16" t="inlineStr">
        <is>
          <t>95 MPGe</t>
        </is>
      </c>
      <c r="P27" s="16" t="inlineStr">
        <is>
          <t>380</t>
        </is>
      </c>
      <c r="Q27" s="22" t="n">
        <v>100</v>
      </c>
      <c r="R27" s="16" t="n">
        <v>5</v>
      </c>
      <c r="S27" s="22" t="n">
        <v>18</v>
      </c>
      <c r="T27" s="16" t="inlineStr">
        <is>
          <t>N/A</t>
        </is>
      </c>
      <c r="U27" s="28" t="inlineStr">
        <is>
          <t>9.0/10</t>
        </is>
      </c>
      <c r="V27" s="24" t="inlineStr">
        <is>
          <t xml:space="preserve"> • Silent, instantaneous acceleration
 • Low center of gravity enhances stability
 • Zero tailpipe emissions</t>
        </is>
      </c>
      <c r="W27" s="25" t="inlineStr">
        <is>
          <t xml:space="preserve"> • Highway range drops at sustained speed
 • Public charging network variability
 • Pricier initial purchase cost</t>
        </is>
      </c>
      <c r="X27" s="26" t="inlineStr">
        <is>
          <t>A compelling electric entry in the executive ev sedan segment offering smooth power delivery and advanced tech.</t>
        </is>
      </c>
      <c r="Y27" s="27" t="inlineStr">
        <is>
          <t>https://hips.hearstapps.com/hmg-prod/images/2026-audi-a6-e-tron.jpg</t>
        </is>
      </c>
      <c r="Z27" s="27" t="inlineStr">
        <is>
          <t>https://www.caranddriver.com/audi/a6-e-tron</t>
        </is>
      </c>
      <c r="AA27" s="17" t="inlineStr">
        <is>
          <t>Car and Driver Preview</t>
        </is>
      </c>
    </row>
    <row r="28" ht="48" customHeight="1">
      <c r="A28" s="4" t="n">
        <v>2026</v>
      </c>
      <c r="B28" s="5" t="inlineStr">
        <is>
          <t>Audi</t>
        </is>
      </c>
      <c r="C28" s="5" t="inlineStr">
        <is>
          <t>RS6 Avant</t>
        </is>
      </c>
      <c r="D28" s="5" t="inlineStr">
        <is>
          <t>Performance GT</t>
        </is>
      </c>
      <c r="E28" s="5" t="inlineStr">
        <is>
          <t>Performance Wagon</t>
        </is>
      </c>
      <c r="F28" s="5" t="inlineStr">
        <is>
          <t>Mild Hybrid</t>
        </is>
      </c>
      <c r="G28" s="6" t="n">
        <v>128895</v>
      </c>
      <c r="H28" s="7" t="n">
        <v>621</v>
      </c>
      <c r="I28" s="7" t="n">
        <v>627</v>
      </c>
      <c r="J28" s="5" t="inlineStr">
        <is>
          <t>4.0L Twin-Turbo V8</t>
        </is>
      </c>
      <c r="K28" s="8" t="n">
        <v>4</v>
      </c>
      <c r="L28" s="4" t="n">
        <v>8</v>
      </c>
      <c r="M28" s="5" t="inlineStr">
        <is>
          <t>8-Speed Auto</t>
        </is>
      </c>
      <c r="N28" s="4" t="inlineStr">
        <is>
          <t>quattro AWD</t>
        </is>
      </c>
      <c r="O28" s="4" t="inlineStr">
        <is>
          <t>17 (14/21)</t>
        </is>
      </c>
      <c r="P28" s="4" t="inlineStr">
        <is>
          <t>N/A</t>
        </is>
      </c>
      <c r="Q28" s="9" t="inlineStr">
        <is>
          <t>N/A</t>
        </is>
      </c>
      <c r="R28" s="4" t="n">
        <v>5</v>
      </c>
      <c r="S28" s="10" t="n">
        <v>30</v>
      </c>
      <c r="T28" s="4" t="inlineStr">
        <is>
          <t>N/A</t>
        </is>
      </c>
      <c r="U28" s="29" t="inlineStr">
        <is>
          <t>10/10</t>
        </is>
      </c>
      <c r="V28" s="12" t="inlineStr">
        <is>
          <t xml:space="preserve"> • Superb real-world fuel economy
 • Smooth electric-gas power handover
 • No range anxiety on long trips</t>
        </is>
      </c>
      <c r="W28" s="13" t="inlineStr">
        <is>
          <t xml:space="preserve"> • Added curb weight from battery packs
 • Slightly compromised cargo space
 • eCVT engine flare during passing</t>
        </is>
      </c>
      <c r="X28" s="14" t="inlineStr">
        <is>
          <t>A finely engineered mild hybrid performance wagon striking the optimal balance between high efficiency and long-distance practicality.</t>
        </is>
      </c>
      <c r="Y28" s="15" t="inlineStr">
        <is>
          <t>https://hips.hearstapps.com/hmg-prod/images/2026-audi-rs6-avant.jpg</t>
        </is>
      </c>
      <c r="Z28" s="15" t="inlineStr">
        <is>
          <t>https://www.caranddriver.com/audi/rs6-avant</t>
        </is>
      </c>
      <c r="AA28" s="5" t="inlineStr">
        <is>
          <t>Car and Driver 10Best</t>
        </is>
      </c>
    </row>
    <row r="29" ht="48" customHeight="1">
      <c r="A29" s="16" t="n">
        <v>2026</v>
      </c>
      <c r="B29" s="17" t="inlineStr">
        <is>
          <t>Audi</t>
        </is>
      </c>
      <c r="C29" s="17" t="inlineStr">
        <is>
          <t>A7</t>
        </is>
      </c>
      <c r="D29" s="17" t="inlineStr">
        <is>
          <t>55 TFSI quattro</t>
        </is>
      </c>
      <c r="E29" s="17" t="inlineStr">
        <is>
          <t>Luxury Sportback</t>
        </is>
      </c>
      <c r="F29" s="17" t="inlineStr">
        <is>
          <t>Mild Hybrid</t>
        </is>
      </c>
      <c r="G29" s="18" t="n">
        <v>73000</v>
      </c>
      <c r="H29" s="19" t="n">
        <v>335</v>
      </c>
      <c r="I29" s="19" t="n">
        <v>369</v>
      </c>
      <c r="J29" s="17" t="inlineStr">
        <is>
          <t>3.0L Turbo V6</t>
        </is>
      </c>
      <c r="K29" s="20" t="n">
        <v>3</v>
      </c>
      <c r="L29" s="16" t="n">
        <v>6</v>
      </c>
      <c r="M29" s="17" t="inlineStr">
        <is>
          <t>7-Speed DSG</t>
        </is>
      </c>
      <c r="N29" s="16" t="inlineStr">
        <is>
          <t>quattro AWD</t>
        </is>
      </c>
      <c r="O29" s="16" t="inlineStr">
        <is>
          <t>24 (21/30)</t>
        </is>
      </c>
      <c r="P29" s="16" t="inlineStr">
        <is>
          <t>N/A</t>
        </is>
      </c>
      <c r="Q29" s="21" t="inlineStr">
        <is>
          <t>N/A</t>
        </is>
      </c>
      <c r="R29" s="16" t="n">
        <v>5</v>
      </c>
      <c r="S29" s="22" t="n">
        <v>24.9</v>
      </c>
      <c r="T29" s="16" t="inlineStr">
        <is>
          <t>N/A</t>
        </is>
      </c>
      <c r="U29" s="28" t="inlineStr">
        <is>
          <t>9.0/10</t>
        </is>
      </c>
      <c r="V29" s="24" t="inlineStr">
        <is>
          <t xml:space="preserve"> • Superb real-world fuel economy
 • Smooth electric-gas power handover
 • No range anxiety on long trips</t>
        </is>
      </c>
      <c r="W29" s="25" t="inlineStr">
        <is>
          <t xml:space="preserve"> • Added curb weight from battery packs
 • Slightly compromised cargo space
 • eCVT engine flare during passing</t>
        </is>
      </c>
      <c r="X29" s="26" t="inlineStr">
        <is>
          <t>A finely engineered mild hybrid luxury sportback striking the optimal balance between high efficiency and long-distance practicality.</t>
        </is>
      </c>
      <c r="Y29" s="27" t="inlineStr">
        <is>
          <t>https://hips.hearstapps.com/hmg-prod/images/2026-audi-a7.jpg</t>
        </is>
      </c>
      <c r="Z29" s="27" t="inlineStr">
        <is>
          <t>https://www.caranddriver.com/audi/a7</t>
        </is>
      </c>
      <c r="AA29" s="17" t="inlineStr">
        <is>
          <t>Car and Driver Editors' Choice</t>
        </is>
      </c>
    </row>
    <row r="30" ht="48" customHeight="1">
      <c r="A30" s="4" t="n">
        <v>2026</v>
      </c>
      <c r="B30" s="5" t="inlineStr">
        <is>
          <t>Audi</t>
        </is>
      </c>
      <c r="C30" s="5" t="inlineStr">
        <is>
          <t>RS7</t>
        </is>
      </c>
      <c r="D30" s="5" t="inlineStr">
        <is>
          <t>Performance</t>
        </is>
      </c>
      <c r="E30" s="5" t="inlineStr">
        <is>
          <t>Super Sportback</t>
        </is>
      </c>
      <c r="F30" s="5" t="inlineStr">
        <is>
          <t>Mild Hybrid</t>
        </is>
      </c>
      <c r="G30" s="6" t="n">
        <v>129000</v>
      </c>
      <c r="H30" s="7" t="n">
        <v>621</v>
      </c>
      <c r="I30" s="7" t="n">
        <v>627</v>
      </c>
      <c r="J30" s="5" t="inlineStr">
        <is>
          <t>4.0L Twin-Turbo V8</t>
        </is>
      </c>
      <c r="K30" s="8" t="n">
        <v>4</v>
      </c>
      <c r="L30" s="4" t="n">
        <v>8</v>
      </c>
      <c r="M30" s="5" t="inlineStr">
        <is>
          <t>8-Speed Auto</t>
        </is>
      </c>
      <c r="N30" s="4" t="inlineStr">
        <is>
          <t>quattro AWD</t>
        </is>
      </c>
      <c r="O30" s="4" t="inlineStr">
        <is>
          <t>17 (14/21)</t>
        </is>
      </c>
      <c r="P30" s="4" t="inlineStr">
        <is>
          <t>N/A</t>
        </is>
      </c>
      <c r="Q30" s="9" t="inlineStr">
        <is>
          <t>N/A</t>
        </is>
      </c>
      <c r="R30" s="4" t="n">
        <v>5</v>
      </c>
      <c r="S30" s="10" t="n">
        <v>24.9</v>
      </c>
      <c r="T30" s="4" t="inlineStr">
        <is>
          <t>N/A</t>
        </is>
      </c>
      <c r="U30" s="29" t="inlineStr">
        <is>
          <t>9.5/10</t>
        </is>
      </c>
      <c r="V30" s="12" t="inlineStr">
        <is>
          <t xml:space="preserve"> • Superb real-world fuel economy
 • Smooth electric-gas power handover
 • No range anxiety on long trips</t>
        </is>
      </c>
      <c r="W30" s="13" t="inlineStr">
        <is>
          <t xml:space="preserve"> • Added curb weight from battery packs
 • Slightly compromised cargo space
 • eCVT engine flare during passing</t>
        </is>
      </c>
      <c r="X30" s="14" t="inlineStr">
        <is>
          <t>A finely engineered mild hybrid super sportback striking the optimal balance between high efficiency and long-distance practicality.</t>
        </is>
      </c>
      <c r="Y30" s="15" t="inlineStr">
        <is>
          <t>https://hips.hearstapps.com/hmg-prod/images/2026-audi-rs7.jpg</t>
        </is>
      </c>
      <c r="Z30" s="15" t="inlineStr">
        <is>
          <t>https://www.caranddriver.com/audi/rs7</t>
        </is>
      </c>
      <c r="AA30" s="5" t="inlineStr">
        <is>
          <t>Car and Driver Editors' Choice</t>
        </is>
      </c>
    </row>
    <row r="31" ht="48" customHeight="1">
      <c r="A31" s="16" t="n">
        <v>2026</v>
      </c>
      <c r="B31" s="17" t="inlineStr">
        <is>
          <t>Audi</t>
        </is>
      </c>
      <c r="C31" s="17" t="inlineStr">
        <is>
          <t>A8</t>
        </is>
      </c>
      <c r="D31" s="17" t="inlineStr">
        <is>
          <t>55 TFSI quattro</t>
        </is>
      </c>
      <c r="E31" s="17" t="inlineStr">
        <is>
          <t>Full-Size Luxury Flagship</t>
        </is>
      </c>
      <c r="F31" s="17" t="inlineStr">
        <is>
          <t>Mild Hybrid</t>
        </is>
      </c>
      <c r="G31" s="18" t="n">
        <v>92000</v>
      </c>
      <c r="H31" s="19" t="n">
        <v>335</v>
      </c>
      <c r="I31" s="19" t="n">
        <v>369</v>
      </c>
      <c r="J31" s="17" t="inlineStr">
        <is>
          <t>3.0L Turbo V6</t>
        </is>
      </c>
      <c r="K31" s="20" t="n">
        <v>3</v>
      </c>
      <c r="L31" s="16" t="n">
        <v>6</v>
      </c>
      <c r="M31" s="17" t="inlineStr">
        <is>
          <t>8-Speed Auto</t>
        </is>
      </c>
      <c r="N31" s="16" t="inlineStr">
        <is>
          <t>quattro AWD</t>
        </is>
      </c>
      <c r="O31" s="16" t="inlineStr">
        <is>
          <t>22 (19/28)</t>
        </is>
      </c>
      <c r="P31" s="16" t="inlineStr">
        <is>
          <t>N/A</t>
        </is>
      </c>
      <c r="Q31" s="21" t="inlineStr">
        <is>
          <t>N/A</t>
        </is>
      </c>
      <c r="R31" s="16" t="n">
        <v>5</v>
      </c>
      <c r="S31" s="22" t="n">
        <v>12.5</v>
      </c>
      <c r="T31" s="16" t="inlineStr">
        <is>
          <t>N/A</t>
        </is>
      </c>
      <c r="U31" s="28" t="inlineStr">
        <is>
          <t>8.5/10</t>
        </is>
      </c>
      <c r="V31" s="24" t="inlineStr">
        <is>
          <t xml:space="preserve"> • Superb real-world fuel economy
 • Smooth electric-gas power handover
 • No range anxiety on long trips</t>
        </is>
      </c>
      <c r="W31" s="25" t="inlineStr">
        <is>
          <t xml:space="preserve"> • Added curb weight from battery packs
 • Slightly compromised cargo space
 • eCVT engine flare during passing</t>
        </is>
      </c>
      <c r="X31" s="26" t="inlineStr">
        <is>
          <t>A finely engineered mild hybrid full-size luxury flagship striking the optimal balance between high efficiency and long-distance practicality.</t>
        </is>
      </c>
      <c r="Y31" s="27" t="inlineStr">
        <is>
          <t>https://hips.hearstapps.com/hmg-prod/images/2026-audi-a8.jpg</t>
        </is>
      </c>
      <c r="Z31" s="27" t="inlineStr">
        <is>
          <t>https://www.caranddriver.com/audi/a8</t>
        </is>
      </c>
      <c r="AA31" s="17" t="inlineStr">
        <is>
          <t>Car and Driver Buyer's Guide</t>
        </is>
      </c>
    </row>
    <row r="32" ht="48" customHeight="1">
      <c r="A32" s="4" t="n">
        <v>2026</v>
      </c>
      <c r="B32" s="5" t="inlineStr">
        <is>
          <t>Audi</t>
        </is>
      </c>
      <c r="C32" s="5" t="inlineStr">
        <is>
          <t>S8</t>
        </is>
      </c>
      <c r="D32" s="5" t="inlineStr">
        <is>
          <t>Base</t>
        </is>
      </c>
      <c r="E32" s="5" t="inlineStr">
        <is>
          <t>Performance Flagship Sedan</t>
        </is>
      </c>
      <c r="F32" s="5" t="inlineStr">
        <is>
          <t>Mild Hybrid</t>
        </is>
      </c>
      <c r="G32" s="6" t="n">
        <v>126000</v>
      </c>
      <c r="H32" s="7" t="n">
        <v>563</v>
      </c>
      <c r="I32" s="7" t="n">
        <v>590</v>
      </c>
      <c r="J32" s="5" t="inlineStr">
        <is>
          <t>4.0L Twin-Turbo V8</t>
        </is>
      </c>
      <c r="K32" s="8" t="n">
        <v>4</v>
      </c>
      <c r="L32" s="4" t="n">
        <v>8</v>
      </c>
      <c r="M32" s="5" t="inlineStr">
        <is>
          <t>8-Speed Auto</t>
        </is>
      </c>
      <c r="N32" s="4" t="inlineStr">
        <is>
          <t>quattro AWD</t>
        </is>
      </c>
      <c r="O32" s="4" t="inlineStr">
        <is>
          <t>18 (15/24)</t>
        </is>
      </c>
      <c r="P32" s="4" t="inlineStr">
        <is>
          <t>N/A</t>
        </is>
      </c>
      <c r="Q32" s="9" t="inlineStr">
        <is>
          <t>N/A</t>
        </is>
      </c>
      <c r="R32" s="4" t="n">
        <v>5</v>
      </c>
      <c r="S32" s="10" t="n">
        <v>12.5</v>
      </c>
      <c r="T32" s="4" t="inlineStr">
        <is>
          <t>N/A</t>
        </is>
      </c>
      <c r="U32" s="11" t="inlineStr">
        <is>
          <t>9.0/10</t>
        </is>
      </c>
      <c r="V32" s="12" t="inlineStr">
        <is>
          <t xml:space="preserve"> • Superb real-world fuel economy
 • Smooth electric-gas power handover
 • No range anxiety on long trips</t>
        </is>
      </c>
      <c r="W32" s="13" t="inlineStr">
        <is>
          <t xml:space="preserve"> • Added curb weight from battery packs
 • Slightly compromised cargo space
 • eCVT engine flare during passing</t>
        </is>
      </c>
      <c r="X32" s="14" t="inlineStr">
        <is>
          <t>A finely engineered mild hybrid performance flagship sedan striking the optimal balance between high efficiency and long-distance practicality.</t>
        </is>
      </c>
      <c r="Y32" s="15" t="inlineStr">
        <is>
          <t>https://hips.hearstapps.com/hmg-prod/images/2026-audi-s8.jpg</t>
        </is>
      </c>
      <c r="Z32" s="15" t="inlineStr">
        <is>
          <t>https://www.caranddriver.com/audi/s8</t>
        </is>
      </c>
      <c r="AA32" s="5" t="inlineStr">
        <is>
          <t>Car and Driver Editors' Choice</t>
        </is>
      </c>
    </row>
    <row r="33" ht="48" customHeight="1">
      <c r="A33" s="16" t="n">
        <v>2026</v>
      </c>
      <c r="B33" s="17" t="inlineStr">
        <is>
          <t>Audi</t>
        </is>
      </c>
      <c r="C33" s="17" t="inlineStr">
        <is>
          <t>Q3</t>
        </is>
      </c>
      <c r="D33" s="17" t="inlineStr">
        <is>
          <t>45 TFSI Premium</t>
        </is>
      </c>
      <c r="E33" s="17" t="inlineStr">
        <is>
          <t>Subcompact Luxury Crossover</t>
        </is>
      </c>
      <c r="F33" s="17" t="inlineStr">
        <is>
          <t>Gasoline</t>
        </is>
      </c>
      <c r="G33" s="18" t="n">
        <v>42000</v>
      </c>
      <c r="H33" s="19" t="n">
        <v>228</v>
      </c>
      <c r="I33" s="19" t="n">
        <v>258</v>
      </c>
      <c r="J33" s="17" t="inlineStr">
        <is>
          <t>2.0L Turbo I4</t>
        </is>
      </c>
      <c r="K33" s="20" t="n">
        <v>2</v>
      </c>
      <c r="L33" s="16" t="n">
        <v>4</v>
      </c>
      <c r="M33" s="17" t="inlineStr">
        <is>
          <t>8-Speed Auto</t>
        </is>
      </c>
      <c r="N33" s="16" t="inlineStr">
        <is>
          <t>quattro AWD</t>
        </is>
      </c>
      <c r="O33" s="16" t="inlineStr">
        <is>
          <t>24 (21/28)</t>
        </is>
      </c>
      <c r="P33" s="16" t="inlineStr">
        <is>
          <t>N/A</t>
        </is>
      </c>
      <c r="Q33" s="21" t="inlineStr">
        <is>
          <t>N/A</t>
        </is>
      </c>
      <c r="R33" s="16" t="n">
        <v>5</v>
      </c>
      <c r="S33" s="22" t="n">
        <v>23.7</v>
      </c>
      <c r="T33" s="19" t="n">
        <v>2200</v>
      </c>
      <c r="U33" s="28" t="inlineStr">
        <is>
          <t>8.0/10</t>
        </is>
      </c>
      <c r="V33" s="24" t="inlineStr">
        <is>
          <t xml:space="preserve"> • Spacious passenger and cargo room
 • Commanding elevated driving position
 • Confidence-inspiring all-weather grip</t>
        </is>
      </c>
      <c r="W33" s="25" t="inlineStr">
        <is>
          <t xml:space="preserve"> • Higher center of gravity than sedans
 • Fuel consumption under heavy load
 • Less engaging steering feel</t>
        </is>
      </c>
      <c r="X33" s="26" t="inlineStr">
        <is>
          <t>A highly versatile subcompact luxury crossover that delivers generous space, modern safety tech, and daily utility.</t>
        </is>
      </c>
      <c r="Y33" s="27" t="inlineStr">
        <is>
          <t>https://hips.hearstapps.com/hmg-prod/images/2026-audi-q3.jpg</t>
        </is>
      </c>
      <c r="Z33" s="27" t="inlineStr">
        <is>
          <t>https://www.caranddriver.com/audi/q3</t>
        </is>
      </c>
      <c r="AA33" s="17" t="inlineStr">
        <is>
          <t>Car and Driver Buyer's Guide</t>
        </is>
      </c>
    </row>
    <row r="34" ht="48" customHeight="1">
      <c r="A34" s="4" t="n">
        <v>2026</v>
      </c>
      <c r="B34" s="5" t="inlineStr">
        <is>
          <t>Audi</t>
        </is>
      </c>
      <c r="C34" s="5" t="inlineStr">
        <is>
          <t>Q4 e-tron</t>
        </is>
      </c>
      <c r="D34" s="5" t="inlineStr">
        <is>
          <t>55 quattro</t>
        </is>
      </c>
      <c r="E34" s="5" t="inlineStr">
        <is>
          <t>Compact EV SUV</t>
        </is>
      </c>
      <c r="F34" s="5" t="inlineStr">
        <is>
          <t>Electric</t>
        </is>
      </c>
      <c r="G34" s="6" t="n">
        <v>56500</v>
      </c>
      <c r="H34" s="7" t="n">
        <v>335</v>
      </c>
      <c r="I34" s="7" t="n">
        <v>402</v>
      </c>
      <c r="J34" s="5" t="inlineStr">
        <is>
          <t>Dual Electric Motors</t>
        </is>
      </c>
      <c r="K34" s="4" t="inlineStr">
        <is>
          <t>N/A</t>
        </is>
      </c>
      <c r="L34" s="4" t="n">
        <v>0</v>
      </c>
      <c r="M34" s="5" t="inlineStr">
        <is>
          <t>1-Speed Direct</t>
        </is>
      </c>
      <c r="N34" s="4" t="inlineStr">
        <is>
          <t>quattro AWD</t>
        </is>
      </c>
      <c r="O34" s="4" t="inlineStr">
        <is>
          <t>97 MPGe</t>
        </is>
      </c>
      <c r="P34" s="4" t="inlineStr">
        <is>
          <t>258</t>
        </is>
      </c>
      <c r="Q34" s="10" t="n">
        <v>82</v>
      </c>
      <c r="R34" s="4" t="n">
        <v>5</v>
      </c>
      <c r="S34" s="10" t="n">
        <v>24.8</v>
      </c>
      <c r="T34" s="7" t="n">
        <v>2600</v>
      </c>
      <c r="U34" s="11" t="inlineStr">
        <is>
          <t>8.0/10</t>
        </is>
      </c>
      <c r="V34" s="12" t="inlineStr">
        <is>
          <t xml:space="preserve"> • Silent, instantaneous acceleration
 • Low center of gravity enhances stability
 • Zero tailpipe emissions</t>
        </is>
      </c>
      <c r="W34" s="13" t="inlineStr">
        <is>
          <t xml:space="preserve"> • Highway range drops at sustained speed
 • Public charging network variability
 • Pricier initial purchase cost</t>
        </is>
      </c>
      <c r="X34" s="14" t="inlineStr">
        <is>
          <t>A compelling electric entry in the compact ev suv segment offering smooth power delivery and advanced tech.</t>
        </is>
      </c>
      <c r="Y34" s="15" t="inlineStr">
        <is>
          <t>https://hips.hearstapps.com/hmg-prod/images/2026-audi-q4-e-tron.jpg</t>
        </is>
      </c>
      <c r="Z34" s="15" t="inlineStr">
        <is>
          <t>https://www.caranddriver.com/audi/q4-e-tron</t>
        </is>
      </c>
      <c r="AA34" s="5" t="inlineStr">
        <is>
          <t>Car and Driver Buyer's Guide</t>
        </is>
      </c>
    </row>
    <row r="35" ht="48" customHeight="1">
      <c r="A35" s="16" t="n">
        <v>2026</v>
      </c>
      <c r="B35" s="17" t="inlineStr">
        <is>
          <t>Audi</t>
        </is>
      </c>
      <c r="C35" s="17" t="inlineStr">
        <is>
          <t>Q5</t>
        </is>
      </c>
      <c r="D35" s="17" t="inlineStr">
        <is>
          <t>45 TFSI Premium</t>
        </is>
      </c>
      <c r="E35" s="17" t="inlineStr">
        <is>
          <t>Compact Luxury SUV</t>
        </is>
      </c>
      <c r="F35" s="17" t="inlineStr">
        <is>
          <t>Mild Hybrid</t>
        </is>
      </c>
      <c r="G35" s="18" t="n">
        <v>48000</v>
      </c>
      <c r="H35" s="19" t="n">
        <v>268</v>
      </c>
      <c r="I35" s="19" t="n">
        <v>295</v>
      </c>
      <c r="J35" s="17" t="inlineStr">
        <is>
          <t>2.0L Turbo I4</t>
        </is>
      </c>
      <c r="K35" s="20" t="n">
        <v>2</v>
      </c>
      <c r="L35" s="16" t="n">
        <v>4</v>
      </c>
      <c r="M35" s="17" t="inlineStr">
        <is>
          <t>7-Speed DSG</t>
        </is>
      </c>
      <c r="N35" s="16" t="inlineStr">
        <is>
          <t>quattro AWD</t>
        </is>
      </c>
      <c r="O35" s="16" t="inlineStr">
        <is>
          <t>26 (23/29)</t>
        </is>
      </c>
      <c r="P35" s="16" t="inlineStr">
        <is>
          <t>N/A</t>
        </is>
      </c>
      <c r="Q35" s="21" t="inlineStr">
        <is>
          <t>N/A</t>
        </is>
      </c>
      <c r="R35" s="16" t="n">
        <v>5</v>
      </c>
      <c r="S35" s="22" t="n">
        <v>25.8</v>
      </c>
      <c r="T35" s="19" t="n">
        <v>4400</v>
      </c>
      <c r="U35" s="28" t="inlineStr">
        <is>
          <t>8.5/10</t>
        </is>
      </c>
      <c r="V35" s="24" t="inlineStr">
        <is>
          <t xml:space="preserve"> • Superb real-world fuel economy
 • Smooth electric-gas power handover
 • No range anxiety on long trips</t>
        </is>
      </c>
      <c r="W35" s="25" t="inlineStr">
        <is>
          <t xml:space="preserve"> • Added curb weight from battery packs
 • Slightly compromised cargo space
 • eCVT engine flare during passing</t>
        </is>
      </c>
      <c r="X35" s="26" t="inlineStr">
        <is>
          <t>A finely engineered mild hybrid compact luxury suv striking the optimal balance between high efficiency and long-distance practicality.</t>
        </is>
      </c>
      <c r="Y35" s="27" t="inlineStr">
        <is>
          <t>https://hips.hearstapps.com/hmg-prod/images/2026-audi-q5.jpg</t>
        </is>
      </c>
      <c r="Z35" s="27" t="inlineStr">
        <is>
          <t>https://www.caranddriver.com/audi/q5</t>
        </is>
      </c>
      <c r="AA35" s="17" t="inlineStr">
        <is>
          <t>Car and Driver Buyer's Guide</t>
        </is>
      </c>
    </row>
    <row r="36" ht="48" customHeight="1">
      <c r="A36" s="4" t="n">
        <v>2026</v>
      </c>
      <c r="B36" s="5" t="inlineStr">
        <is>
          <t>Audi</t>
        </is>
      </c>
      <c r="C36" s="5" t="inlineStr">
        <is>
          <t>SQ5</t>
        </is>
      </c>
      <c r="D36" s="5" t="inlineStr">
        <is>
          <t>Prestige</t>
        </is>
      </c>
      <c r="E36" s="5" t="inlineStr">
        <is>
          <t>Sport Compact SUV</t>
        </is>
      </c>
      <c r="F36" s="5" t="inlineStr">
        <is>
          <t>Mild Hybrid</t>
        </is>
      </c>
      <c r="G36" s="6" t="n">
        <v>66000</v>
      </c>
      <c r="H36" s="7" t="n">
        <v>362</v>
      </c>
      <c r="I36" s="7" t="n">
        <v>406</v>
      </c>
      <c r="J36" s="5" t="inlineStr">
        <is>
          <t>3.0L Turbo V6</t>
        </is>
      </c>
      <c r="K36" s="8" t="n">
        <v>3</v>
      </c>
      <c r="L36" s="4" t="n">
        <v>6</v>
      </c>
      <c r="M36" s="5" t="inlineStr">
        <is>
          <t>7-Speed DSG</t>
        </is>
      </c>
      <c r="N36" s="4" t="inlineStr">
        <is>
          <t>quattro AWD</t>
        </is>
      </c>
      <c r="O36" s="4" t="inlineStr">
        <is>
          <t>22 (19/25)</t>
        </is>
      </c>
      <c r="P36" s="4" t="inlineStr">
        <is>
          <t>N/A</t>
        </is>
      </c>
      <c r="Q36" s="9" t="inlineStr">
        <is>
          <t>N/A</t>
        </is>
      </c>
      <c r="R36" s="4" t="n">
        <v>5</v>
      </c>
      <c r="S36" s="10" t="n">
        <v>25.8</v>
      </c>
      <c r="T36" s="7" t="n">
        <v>4400</v>
      </c>
      <c r="U36" s="11" t="inlineStr">
        <is>
          <t>8.5/10</t>
        </is>
      </c>
      <c r="V36" s="12" t="inlineStr">
        <is>
          <t xml:space="preserve"> • Superb real-world fuel economy
 • Smooth electric-gas power handover
 • No range anxiety on long trips</t>
        </is>
      </c>
      <c r="W36" s="13" t="inlineStr">
        <is>
          <t xml:space="preserve"> • Added curb weight from battery packs
 • Slightly compromised cargo space
 • eCVT engine flare during passing</t>
        </is>
      </c>
      <c r="X36" s="14" t="inlineStr">
        <is>
          <t>A finely engineered mild hybrid sport compact suv striking the optimal balance between high efficiency and long-distance practicality.</t>
        </is>
      </c>
      <c r="Y36" s="15" t="inlineStr">
        <is>
          <t>https://hips.hearstapps.com/hmg-prod/images/2026-audi-sq5.jpg</t>
        </is>
      </c>
      <c r="Z36" s="15" t="inlineStr">
        <is>
          <t>https://www.caranddriver.com/audi/sq5</t>
        </is>
      </c>
      <c r="AA36" s="5" t="inlineStr">
        <is>
          <t>Car and Driver Buyer's Guide</t>
        </is>
      </c>
    </row>
    <row r="37" ht="48" customHeight="1">
      <c r="A37" s="16" t="n">
        <v>2026</v>
      </c>
      <c r="B37" s="17" t="inlineStr">
        <is>
          <t>Audi</t>
        </is>
      </c>
      <c r="C37" s="17" t="inlineStr">
        <is>
          <t>Q6 e-tron</t>
        </is>
      </c>
      <c r="D37" s="17" t="inlineStr">
        <is>
          <t>quattro Premium Plus</t>
        </is>
      </c>
      <c r="E37" s="17" t="inlineStr">
        <is>
          <t>Compact Luxury EV SUV</t>
        </is>
      </c>
      <c r="F37" s="17" t="inlineStr">
        <is>
          <t>Electric</t>
        </is>
      </c>
      <c r="G37" s="18" t="n">
        <v>67395</v>
      </c>
      <c r="H37" s="19" t="n">
        <v>456</v>
      </c>
      <c r="I37" s="19" t="n">
        <v>428</v>
      </c>
      <c r="J37" s="17" t="inlineStr">
        <is>
          <t>Dual Electric Motors</t>
        </is>
      </c>
      <c r="K37" s="16" t="inlineStr">
        <is>
          <t>N/A</t>
        </is>
      </c>
      <c r="L37" s="16" t="n">
        <v>0</v>
      </c>
      <c r="M37" s="17" t="inlineStr">
        <is>
          <t>1-Speed Direct</t>
        </is>
      </c>
      <c r="N37" s="16" t="inlineStr">
        <is>
          <t>quattro AWD</t>
        </is>
      </c>
      <c r="O37" s="16" t="inlineStr">
        <is>
          <t>90 MPGe</t>
        </is>
      </c>
      <c r="P37" s="16" t="inlineStr">
        <is>
          <t>307</t>
        </is>
      </c>
      <c r="Q37" s="22" t="n">
        <v>100</v>
      </c>
      <c r="R37" s="16" t="n">
        <v>5</v>
      </c>
      <c r="S37" s="22" t="n">
        <v>30.2</v>
      </c>
      <c r="T37" s="19" t="n">
        <v>4400</v>
      </c>
      <c r="U37" s="28" t="inlineStr">
        <is>
          <t>9.0/10</t>
        </is>
      </c>
      <c r="V37" s="24" t="inlineStr">
        <is>
          <t xml:space="preserve"> • Silent, instantaneous acceleration
 • Low center of gravity enhances stability
 • Zero tailpipe emissions</t>
        </is>
      </c>
      <c r="W37" s="25" t="inlineStr">
        <is>
          <t xml:space="preserve"> • Highway range drops at sustained speed
 • Public charging network variability
 • Pricier initial purchase cost</t>
        </is>
      </c>
      <c r="X37" s="26" t="inlineStr">
        <is>
          <t>A compelling electric entry in the compact luxury ev suv segment offering smooth power delivery and advanced tech.</t>
        </is>
      </c>
      <c r="Y37" s="27" t="inlineStr">
        <is>
          <t>https://hips.hearstapps.com/hmg-prod/images/2026-audi-q6-e-tron.jpg</t>
        </is>
      </c>
      <c r="Z37" s="27" t="inlineStr">
        <is>
          <t>https://www.caranddriver.com/audi/q6-e-tron</t>
        </is>
      </c>
      <c r="AA37" s="17" t="inlineStr">
        <is>
          <t>Car and Driver First Drive</t>
        </is>
      </c>
    </row>
    <row r="38" ht="48" customHeight="1">
      <c r="A38" s="4" t="n">
        <v>2026</v>
      </c>
      <c r="B38" s="5" t="inlineStr">
        <is>
          <t>Audi</t>
        </is>
      </c>
      <c r="C38" s="5" t="inlineStr">
        <is>
          <t>Q7</t>
        </is>
      </c>
      <c r="D38" s="5" t="inlineStr">
        <is>
          <t>55 TFSI Prestige</t>
        </is>
      </c>
      <c r="E38" s="5" t="inlineStr">
        <is>
          <t>3-Row Luxury SUV</t>
        </is>
      </c>
      <c r="F38" s="5" t="inlineStr">
        <is>
          <t>Mild Hybrid</t>
        </is>
      </c>
      <c r="G38" s="6" t="n">
        <v>69800</v>
      </c>
      <c r="H38" s="7" t="n">
        <v>335</v>
      </c>
      <c r="I38" s="7" t="n">
        <v>369</v>
      </c>
      <c r="J38" s="5" t="inlineStr">
        <is>
          <t>3.0L Turbo V6</t>
        </is>
      </c>
      <c r="K38" s="8" t="n">
        <v>3</v>
      </c>
      <c r="L38" s="4" t="n">
        <v>6</v>
      </c>
      <c r="M38" s="5" t="inlineStr">
        <is>
          <t>8-Speed Auto</t>
        </is>
      </c>
      <c r="N38" s="4" t="inlineStr">
        <is>
          <t>quattro AWD</t>
        </is>
      </c>
      <c r="O38" s="4" t="inlineStr">
        <is>
          <t>20 (18/23)</t>
        </is>
      </c>
      <c r="P38" s="4" t="inlineStr">
        <is>
          <t>N/A</t>
        </is>
      </c>
      <c r="Q38" s="9" t="inlineStr">
        <is>
          <t>N/A</t>
        </is>
      </c>
      <c r="R38" s="4" t="n">
        <v>7</v>
      </c>
      <c r="S38" s="10" t="n">
        <v>14.2</v>
      </c>
      <c r="T38" s="7" t="n">
        <v>7000</v>
      </c>
      <c r="U38" s="11" t="inlineStr">
        <is>
          <t>8.5/10</t>
        </is>
      </c>
      <c r="V38" s="12" t="inlineStr">
        <is>
          <t xml:space="preserve"> • Superb real-world fuel economy
 • Smooth electric-gas power handover
 • No range anxiety on long trips</t>
        </is>
      </c>
      <c r="W38" s="13" t="inlineStr">
        <is>
          <t xml:space="preserve"> • Added curb weight from battery packs
 • Slightly compromised cargo space
 • eCVT engine flare during passing</t>
        </is>
      </c>
      <c r="X38" s="14" t="inlineStr">
        <is>
          <t>A finely engineered mild hybrid 3-row luxury suv striking the optimal balance between high efficiency and long-distance practicality.</t>
        </is>
      </c>
      <c r="Y38" s="15" t="inlineStr">
        <is>
          <t>https://hips.hearstapps.com/hmg-prod/images/2026-audi-q7.jpg</t>
        </is>
      </c>
      <c r="Z38" s="15" t="inlineStr">
        <is>
          <t>https://www.caranddriver.com/audi/q7</t>
        </is>
      </c>
      <c r="AA38" s="5" t="inlineStr">
        <is>
          <t>Car and Driver Buyer's Guide</t>
        </is>
      </c>
    </row>
    <row r="39" ht="48" customHeight="1">
      <c r="A39" s="16" t="n">
        <v>2026</v>
      </c>
      <c r="B39" s="17" t="inlineStr">
        <is>
          <t>Audi</t>
        </is>
      </c>
      <c r="C39" s="17" t="inlineStr">
        <is>
          <t>Q8</t>
        </is>
      </c>
      <c r="D39" s="17" t="inlineStr">
        <is>
          <t>55 TFSI Prestige</t>
        </is>
      </c>
      <c r="E39" s="17" t="inlineStr">
        <is>
          <t>Mid-Size Luxury SUV</t>
        </is>
      </c>
      <c r="F39" s="17" t="inlineStr">
        <is>
          <t>Mild Hybrid</t>
        </is>
      </c>
      <c r="G39" s="18" t="n">
        <v>76000</v>
      </c>
      <c r="H39" s="19" t="n">
        <v>335</v>
      </c>
      <c r="I39" s="19" t="n">
        <v>369</v>
      </c>
      <c r="J39" s="17" t="inlineStr">
        <is>
          <t>3.0L Turbo V6</t>
        </is>
      </c>
      <c r="K39" s="20" t="n">
        <v>3</v>
      </c>
      <c r="L39" s="16" t="n">
        <v>6</v>
      </c>
      <c r="M39" s="17" t="inlineStr">
        <is>
          <t>8-Speed Auto</t>
        </is>
      </c>
      <c r="N39" s="16" t="inlineStr">
        <is>
          <t>quattro AWD</t>
        </is>
      </c>
      <c r="O39" s="16" t="inlineStr">
        <is>
          <t>19 (17/23)</t>
        </is>
      </c>
      <c r="P39" s="16" t="inlineStr">
        <is>
          <t>N/A</t>
        </is>
      </c>
      <c r="Q39" s="21" t="inlineStr">
        <is>
          <t>N/A</t>
        </is>
      </c>
      <c r="R39" s="16" t="n">
        <v>5</v>
      </c>
      <c r="S39" s="22" t="n">
        <v>30.5</v>
      </c>
      <c r="T39" s="19" t="n">
        <v>7700</v>
      </c>
      <c r="U39" s="28" t="inlineStr">
        <is>
          <t>8.5/10</t>
        </is>
      </c>
      <c r="V39" s="24" t="inlineStr">
        <is>
          <t xml:space="preserve"> • Superb real-world fuel economy
 • Smooth electric-gas power handover
 • No range anxiety on long trips</t>
        </is>
      </c>
      <c r="W39" s="25" t="inlineStr">
        <is>
          <t xml:space="preserve"> • Added curb weight from battery packs
 • Slightly compromised cargo space
 • eCVT engine flare during passing</t>
        </is>
      </c>
      <c r="X39" s="26" t="inlineStr">
        <is>
          <t>A finely engineered mild hybrid mid-size luxury suv striking the optimal balance between high efficiency and long-distance practicality.</t>
        </is>
      </c>
      <c r="Y39" s="27" t="inlineStr">
        <is>
          <t>https://hips.hearstapps.com/hmg-prod/images/2026-audi-q8.jpg</t>
        </is>
      </c>
      <c r="Z39" s="27" t="inlineStr">
        <is>
          <t>https://www.caranddriver.com/audi/q8</t>
        </is>
      </c>
      <c r="AA39" s="17" t="inlineStr">
        <is>
          <t>Car and Driver Buyer's Guide</t>
        </is>
      </c>
    </row>
    <row r="40" ht="48" customHeight="1">
      <c r="A40" s="4" t="n">
        <v>2026</v>
      </c>
      <c r="B40" s="5" t="inlineStr">
        <is>
          <t>Audi</t>
        </is>
      </c>
      <c r="C40" s="5" t="inlineStr">
        <is>
          <t>RS Q8</t>
        </is>
      </c>
      <c r="D40" s="5" t="inlineStr">
        <is>
          <t>Performance</t>
        </is>
      </c>
      <c r="E40" s="5" t="inlineStr">
        <is>
          <t>Super SUV</t>
        </is>
      </c>
      <c r="F40" s="5" t="inlineStr">
        <is>
          <t>Mild Hybrid</t>
        </is>
      </c>
      <c r="G40" s="6" t="n">
        <v>137000</v>
      </c>
      <c r="H40" s="7" t="n">
        <v>631</v>
      </c>
      <c r="I40" s="7" t="n">
        <v>627</v>
      </c>
      <c r="J40" s="5" t="inlineStr">
        <is>
          <t>4.0L Twin-Turbo V8</t>
        </is>
      </c>
      <c r="K40" s="8" t="n">
        <v>4</v>
      </c>
      <c r="L40" s="4" t="n">
        <v>8</v>
      </c>
      <c r="M40" s="5" t="inlineStr">
        <is>
          <t>8-Speed Auto</t>
        </is>
      </c>
      <c r="N40" s="4" t="inlineStr">
        <is>
          <t>quattro AWD</t>
        </is>
      </c>
      <c r="O40" s="4" t="inlineStr">
        <is>
          <t>15 (13/19)</t>
        </is>
      </c>
      <c r="P40" s="4" t="inlineStr">
        <is>
          <t>N/A</t>
        </is>
      </c>
      <c r="Q40" s="9" t="inlineStr">
        <is>
          <t>N/A</t>
        </is>
      </c>
      <c r="R40" s="4" t="n">
        <v>5</v>
      </c>
      <c r="S40" s="10" t="n">
        <v>30.5</v>
      </c>
      <c r="T40" s="7" t="n">
        <v>7700</v>
      </c>
      <c r="U40" s="11" t="inlineStr">
        <is>
          <t>9.0/10</t>
        </is>
      </c>
      <c r="V40" s="12" t="inlineStr">
        <is>
          <t xml:space="preserve"> • Superb real-world fuel economy
 • Smooth electric-gas power handover
 • No range anxiety on long trips</t>
        </is>
      </c>
      <c r="W40" s="13" t="inlineStr">
        <is>
          <t xml:space="preserve"> • Added curb weight from battery packs
 • Slightly compromised cargo space
 • eCVT engine flare during passing</t>
        </is>
      </c>
      <c r="X40" s="14" t="inlineStr">
        <is>
          <t>A finely engineered mild hybrid super suv striking the optimal balance between high efficiency and long-distance practicality.</t>
        </is>
      </c>
      <c r="Y40" s="15" t="inlineStr">
        <is>
          <t>https://hips.hearstapps.com/hmg-prod/images/2026-audi-rs-q8.jpg</t>
        </is>
      </c>
      <c r="Z40" s="15" t="inlineStr">
        <is>
          <t>https://www.caranddriver.com/audi/rs-q8</t>
        </is>
      </c>
      <c r="AA40" s="5" t="inlineStr">
        <is>
          <t>Car and Driver Editors' Choice</t>
        </is>
      </c>
    </row>
    <row r="41" ht="48" customHeight="1">
      <c r="A41" s="16" t="n">
        <v>2026</v>
      </c>
      <c r="B41" s="17" t="inlineStr">
        <is>
          <t>Audi</t>
        </is>
      </c>
      <c r="C41" s="17" t="inlineStr">
        <is>
          <t>e-tron GT</t>
        </is>
      </c>
      <c r="D41" s="17" t="inlineStr">
        <is>
          <t>S e-tron GT</t>
        </is>
      </c>
      <c r="E41" s="17" t="inlineStr">
        <is>
          <t>Luxury EV Grand Tourer</t>
        </is>
      </c>
      <c r="F41" s="17" t="inlineStr">
        <is>
          <t>Electric</t>
        </is>
      </c>
      <c r="G41" s="18" t="n">
        <v>126000</v>
      </c>
      <c r="H41" s="19" t="n">
        <v>670</v>
      </c>
      <c r="I41" s="19" t="n">
        <v>612</v>
      </c>
      <c r="J41" s="17" t="inlineStr">
        <is>
          <t>Dual Electric Motors</t>
        </is>
      </c>
      <c r="K41" s="16" t="inlineStr">
        <is>
          <t>N/A</t>
        </is>
      </c>
      <c r="L41" s="16" t="n">
        <v>0</v>
      </c>
      <c r="M41" s="17" t="inlineStr">
        <is>
          <t>2-Speed Rear / 1-Speed Front</t>
        </is>
      </c>
      <c r="N41" s="16" t="inlineStr">
        <is>
          <t>quattro AWD</t>
        </is>
      </c>
      <c r="O41" s="16" t="inlineStr">
        <is>
          <t>85 MPGe</t>
        </is>
      </c>
      <c r="P41" s="16" t="inlineStr">
        <is>
          <t>300</t>
        </is>
      </c>
      <c r="Q41" s="22" t="n">
        <v>105</v>
      </c>
      <c r="R41" s="16" t="n">
        <v>4</v>
      </c>
      <c r="S41" s="22" t="n">
        <v>9.199999999999999</v>
      </c>
      <c r="T41" s="16" t="inlineStr">
        <is>
          <t>N/A</t>
        </is>
      </c>
      <c r="U41" s="28" t="inlineStr">
        <is>
          <t>9.0/10</t>
        </is>
      </c>
      <c r="V41" s="24" t="inlineStr">
        <is>
          <t xml:space="preserve"> • Silent, instantaneous acceleration
 • Low center of gravity enhances stability
 • Zero tailpipe emissions</t>
        </is>
      </c>
      <c r="W41" s="25" t="inlineStr">
        <is>
          <t xml:space="preserve"> • Highway range drops at sustained speed
 • Public charging network variability
 • Pricier initial purchase cost</t>
        </is>
      </c>
      <c r="X41" s="26" t="inlineStr">
        <is>
          <t>A compelling electric entry in the luxury ev grand tourer segment offering smooth power delivery and advanced tech.</t>
        </is>
      </c>
      <c r="Y41" s="27" t="inlineStr">
        <is>
          <t>https://hips.hearstapps.com/hmg-prod/images/2026-audi-e-tron-gt.jpg</t>
        </is>
      </c>
      <c r="Z41" s="27" t="inlineStr">
        <is>
          <t>https://www.caranddriver.com/audi/e-tron-gt</t>
        </is>
      </c>
      <c r="AA41" s="17" t="inlineStr">
        <is>
          <t>Car and Driver First Drive</t>
        </is>
      </c>
    </row>
    <row r="42" ht="48" customHeight="1">
      <c r="A42" s="4" t="n">
        <v>2026</v>
      </c>
      <c r="B42" s="5" t="inlineStr">
        <is>
          <t>Bentley</t>
        </is>
      </c>
      <c r="C42" s="5" t="inlineStr">
        <is>
          <t>Continental GT</t>
        </is>
      </c>
      <c r="D42" s="5" t="inlineStr">
        <is>
          <t>Speed Ultra Hybrid</t>
        </is>
      </c>
      <c r="E42" s="5" t="inlineStr">
        <is>
          <t>Ultra-Luxury GT</t>
        </is>
      </c>
      <c r="F42" s="5" t="inlineStr">
        <is>
          <t>PHEV</t>
        </is>
      </c>
      <c r="G42" s="6" t="n">
        <v>305000</v>
      </c>
      <c r="H42" s="7" t="n">
        <v>771</v>
      </c>
      <c r="I42" s="7" t="n">
        <v>738</v>
      </c>
      <c r="J42" s="5" t="inlineStr">
        <is>
          <t>4.0L Twin-Turbo V8 + Motor</t>
        </is>
      </c>
      <c r="K42" s="8" t="n">
        <v>4</v>
      </c>
      <c r="L42" s="4" t="n">
        <v>8</v>
      </c>
      <c r="M42" s="5" t="inlineStr">
        <is>
          <t>8-Speed Dual-Clutch</t>
        </is>
      </c>
      <c r="N42" s="4" t="inlineStr">
        <is>
          <t>AWD</t>
        </is>
      </c>
      <c r="O42" s="4" t="inlineStr">
        <is>
          <t>24 MPGe / 19 Comb</t>
        </is>
      </c>
      <c r="P42" s="4" t="inlineStr">
        <is>
          <t>50</t>
        </is>
      </c>
      <c r="Q42" s="10" t="n">
        <v>25.9</v>
      </c>
      <c r="R42" s="4" t="n">
        <v>4</v>
      </c>
      <c r="S42" s="10" t="n">
        <v>12.6</v>
      </c>
      <c r="T42" s="4" t="inlineStr">
        <is>
          <t>N/A</t>
        </is>
      </c>
      <c r="U42" s="29" t="inlineStr">
        <is>
          <t>9.5/10</t>
        </is>
      </c>
      <c r="V42" s="12" t="inlineStr">
        <is>
          <t xml:space="preserve"> • Superb real-world fuel economy
 • Smooth electric-gas power handover
 • No range anxiety on long trips</t>
        </is>
      </c>
      <c r="W42" s="13" t="inlineStr">
        <is>
          <t xml:space="preserve"> • Added curb weight from battery packs
 • Slightly compromised cargo space
 • eCVT engine flare during passing</t>
        </is>
      </c>
      <c r="X42" s="14" t="inlineStr">
        <is>
          <t>A finely engineered phev ultra-luxury gt striking the optimal balance between high efficiency and long-distance practicality.</t>
        </is>
      </c>
      <c r="Y42" s="15" t="inlineStr">
        <is>
          <t>https://hips.hearstapps.com/hmg-prod/images/2026-bentley-continental-gt.jpg</t>
        </is>
      </c>
      <c r="Z42" s="15" t="inlineStr">
        <is>
          <t>https://www.caranddriver.com/bentley/continental-gt</t>
        </is>
      </c>
      <c r="AA42" s="5" t="inlineStr">
        <is>
          <t>Car and Driver First Drive</t>
        </is>
      </c>
    </row>
    <row r="43" ht="48" customHeight="1">
      <c r="A43" s="16" t="n">
        <v>2026</v>
      </c>
      <c r="B43" s="17" t="inlineStr">
        <is>
          <t>Bentley</t>
        </is>
      </c>
      <c r="C43" s="17" t="inlineStr">
        <is>
          <t>Flying Spur</t>
        </is>
      </c>
      <c r="D43" s="17" t="inlineStr">
        <is>
          <t>Speed PHEV</t>
        </is>
      </c>
      <c r="E43" s="17" t="inlineStr">
        <is>
          <t>Ultra-Luxury Sedan</t>
        </is>
      </c>
      <c r="F43" s="17" t="inlineStr">
        <is>
          <t>PHEV</t>
        </is>
      </c>
      <c r="G43" s="18" t="n">
        <v>318000</v>
      </c>
      <c r="H43" s="19" t="n">
        <v>771</v>
      </c>
      <c r="I43" s="19" t="n">
        <v>738</v>
      </c>
      <c r="J43" s="17" t="inlineStr">
        <is>
          <t>4.0L Twin-Turbo V8 + Motor</t>
        </is>
      </c>
      <c r="K43" s="20" t="n">
        <v>4</v>
      </c>
      <c r="L43" s="16" t="n">
        <v>8</v>
      </c>
      <c r="M43" s="17" t="inlineStr">
        <is>
          <t>8-Speed Dual-Clutch</t>
        </is>
      </c>
      <c r="N43" s="16" t="inlineStr">
        <is>
          <t>AWD</t>
        </is>
      </c>
      <c r="O43" s="16" t="inlineStr">
        <is>
          <t>23 MPGe / 18 Comb</t>
        </is>
      </c>
      <c r="P43" s="16" t="inlineStr">
        <is>
          <t>47</t>
        </is>
      </c>
      <c r="Q43" s="22" t="n">
        <v>25.9</v>
      </c>
      <c r="R43" s="16" t="n">
        <v>5</v>
      </c>
      <c r="S43" s="22" t="n">
        <v>14.8</v>
      </c>
      <c r="T43" s="16" t="inlineStr">
        <is>
          <t>N/A</t>
        </is>
      </c>
      <c r="U43" s="23" t="inlineStr">
        <is>
          <t>9.5/10</t>
        </is>
      </c>
      <c r="V43" s="24" t="inlineStr">
        <is>
          <t xml:space="preserve"> • Superb real-world fuel economy
 • Smooth electric-gas power handover
 • No range anxiety on long trips</t>
        </is>
      </c>
      <c r="W43" s="25" t="inlineStr">
        <is>
          <t xml:space="preserve"> • Added curb weight from battery packs
 • Slightly compromised cargo space
 • eCVT engine flare during passing</t>
        </is>
      </c>
      <c r="X43" s="26" t="inlineStr">
        <is>
          <t>A finely engineered phev ultra-luxury sedan striking the optimal balance between high efficiency and long-distance practicality.</t>
        </is>
      </c>
      <c r="Y43" s="27" t="inlineStr">
        <is>
          <t>https://hips.hearstapps.com/hmg-prod/images/2026-bentley-flying-spur.jpg</t>
        </is>
      </c>
      <c r="Z43" s="27" t="inlineStr">
        <is>
          <t>https://www.caranddriver.com/bentley/flying-spur</t>
        </is>
      </c>
      <c r="AA43" s="17" t="inlineStr">
        <is>
          <t>Car and Driver Buyer's Guide</t>
        </is>
      </c>
    </row>
    <row r="44" ht="48" customHeight="1">
      <c r="A44" s="4" t="n">
        <v>2026</v>
      </c>
      <c r="B44" s="5" t="inlineStr">
        <is>
          <t>Bentley</t>
        </is>
      </c>
      <c r="C44" s="5" t="inlineStr">
        <is>
          <t>Bentayga</t>
        </is>
      </c>
      <c r="D44" s="5" t="inlineStr">
        <is>
          <t>EWB Azure V8</t>
        </is>
      </c>
      <c r="E44" s="5" t="inlineStr">
        <is>
          <t>Ultra-Luxury SUV</t>
        </is>
      </c>
      <c r="F44" s="5" t="inlineStr">
        <is>
          <t>Gasoline</t>
        </is>
      </c>
      <c r="G44" s="6" t="n">
        <v>240000</v>
      </c>
      <c r="H44" s="7" t="n">
        <v>542</v>
      </c>
      <c r="I44" s="7" t="n">
        <v>568</v>
      </c>
      <c r="J44" s="5" t="inlineStr">
        <is>
          <t>4.0L Twin-Turbo V8</t>
        </is>
      </c>
      <c r="K44" s="8" t="n">
        <v>4</v>
      </c>
      <c r="L44" s="4" t="n">
        <v>8</v>
      </c>
      <c r="M44" s="5" t="inlineStr">
        <is>
          <t>8-Speed Auto</t>
        </is>
      </c>
      <c r="N44" s="4" t="inlineStr">
        <is>
          <t>AWD</t>
        </is>
      </c>
      <c r="O44" s="4" t="inlineStr">
        <is>
          <t>17 (15/21)</t>
        </is>
      </c>
      <c r="P44" s="4" t="inlineStr">
        <is>
          <t>N/A</t>
        </is>
      </c>
      <c r="Q44" s="9" t="inlineStr">
        <is>
          <t>N/A</t>
        </is>
      </c>
      <c r="R44" s="4" t="n">
        <v>5</v>
      </c>
      <c r="S44" s="10" t="n">
        <v>17.1</v>
      </c>
      <c r="T44" s="7" t="n">
        <v>7716</v>
      </c>
      <c r="U44" s="11" t="inlineStr">
        <is>
          <t>9.0/10</t>
        </is>
      </c>
      <c r="V44" s="12" t="inlineStr">
        <is>
          <t xml:space="preserve"> • Spacious passenger and cargo room
 • Commanding elevated driving position
 • Confidence-inspiring all-weather grip</t>
        </is>
      </c>
      <c r="W44" s="13" t="inlineStr">
        <is>
          <t xml:space="preserve"> • Higher center of gravity than sedans
 • Fuel consumption under heavy load
 • Less engaging steering feel</t>
        </is>
      </c>
      <c r="X44" s="14" t="inlineStr">
        <is>
          <t>A highly versatile ultra-luxury suv that delivers generous space, modern safety tech, and daily utility.</t>
        </is>
      </c>
      <c r="Y44" s="15" t="inlineStr">
        <is>
          <t>https://hips.hearstapps.com/hmg-prod/images/2026-bentley-bentayga.jpg</t>
        </is>
      </c>
      <c r="Z44" s="15" t="inlineStr">
        <is>
          <t>https://www.caranddriver.com/bentley/bentayga</t>
        </is>
      </c>
      <c r="AA44" s="5" t="inlineStr">
        <is>
          <t>Car and Driver Buyer's Guide</t>
        </is>
      </c>
    </row>
    <row r="45" ht="48" customHeight="1">
      <c r="A45" s="16" t="n">
        <v>2026</v>
      </c>
      <c r="B45" s="17" t="inlineStr">
        <is>
          <t>BMW</t>
        </is>
      </c>
      <c r="C45" s="17" t="inlineStr">
        <is>
          <t>2-Series Coupe</t>
        </is>
      </c>
      <c r="D45" s="17" t="inlineStr">
        <is>
          <t>M240i xDrive</t>
        </is>
      </c>
      <c r="E45" s="17" t="inlineStr">
        <is>
          <t>Compact Sport Coupe</t>
        </is>
      </c>
      <c r="F45" s="17" t="inlineStr">
        <is>
          <t>Gasoline</t>
        </is>
      </c>
      <c r="G45" s="18" t="n">
        <v>52500</v>
      </c>
      <c r="H45" s="19" t="n">
        <v>382</v>
      </c>
      <c r="I45" s="19" t="n">
        <v>369</v>
      </c>
      <c r="J45" s="17" t="inlineStr">
        <is>
          <t>3.0L Turbo I6 (B58)</t>
        </is>
      </c>
      <c r="K45" s="20" t="n">
        <v>3</v>
      </c>
      <c r="L45" s="16" t="n">
        <v>6</v>
      </c>
      <c r="M45" s="17" t="inlineStr">
        <is>
          <t>8-Speed Sport Auto</t>
        </is>
      </c>
      <c r="N45" s="16" t="inlineStr">
        <is>
          <t>AWD</t>
        </is>
      </c>
      <c r="O45" s="16" t="inlineStr">
        <is>
          <t>26 (23/32)</t>
        </is>
      </c>
      <c r="P45" s="16" t="inlineStr">
        <is>
          <t>N/A</t>
        </is>
      </c>
      <c r="Q45" s="21" t="inlineStr">
        <is>
          <t>N/A</t>
        </is>
      </c>
      <c r="R45" s="16" t="n">
        <v>4</v>
      </c>
      <c r="S45" s="22" t="n">
        <v>10</v>
      </c>
      <c r="T45" s="16" t="inlineStr">
        <is>
          <t>N/A</t>
        </is>
      </c>
      <c r="U45" s="23" t="inlineStr">
        <is>
          <t>9.5/10</t>
        </is>
      </c>
      <c r="V45" s="24" t="inlineStr">
        <is>
          <t xml:space="preserve"> • Refined performance and chassis poise
 • Comfortable ergonomic cabin
 • Comprehensive safety suite</t>
        </is>
      </c>
      <c r="W45" s="25" t="inlineStr">
        <is>
          <t xml:space="preserve"> • Firm ride on optional large wheels
 • Option packages add up quickly
 • Infotainment learning curve</t>
        </is>
      </c>
      <c r="X45" s="26" t="inlineStr">
        <is>
          <t>A solid, well-rounded contender in the US compact sport coupe class with competitive dynamics.</t>
        </is>
      </c>
      <c r="Y45" s="27" t="inlineStr">
        <is>
          <t>https://hips.hearstapps.com/hmg-prod/images/2026-bmw-2-series-coupe.jpg</t>
        </is>
      </c>
      <c r="Z45" s="27" t="inlineStr">
        <is>
          <t>https://www.caranddriver.com/bmw/2-series</t>
        </is>
      </c>
      <c r="AA45" s="17" t="inlineStr">
        <is>
          <t>Car and Driver 10Best</t>
        </is>
      </c>
    </row>
    <row r="46" ht="48" customHeight="1">
      <c r="A46" s="4" t="n">
        <v>2026</v>
      </c>
      <c r="B46" s="5" t="inlineStr">
        <is>
          <t>BMW</t>
        </is>
      </c>
      <c r="C46" s="5" t="inlineStr">
        <is>
          <t>M2</t>
        </is>
      </c>
      <c r="D46" s="5" t="inlineStr">
        <is>
          <t>Coupe 6MT</t>
        </is>
      </c>
      <c r="E46" s="5" t="inlineStr">
        <is>
          <t>Performance Sport Coupe</t>
        </is>
      </c>
      <c r="F46" s="5" t="inlineStr">
        <is>
          <t>Gasoline</t>
        </is>
      </c>
      <c r="G46" s="6" t="n">
        <v>66075</v>
      </c>
      <c r="H46" s="7" t="n">
        <v>473</v>
      </c>
      <c r="I46" s="7" t="n">
        <v>406</v>
      </c>
      <c r="J46" s="5" t="inlineStr">
        <is>
          <t>3.0L Twin-Turbo I6 (S58)</t>
        </is>
      </c>
      <c r="K46" s="8" t="n">
        <v>3</v>
      </c>
      <c r="L46" s="4" t="n">
        <v>6</v>
      </c>
      <c r="M46" s="5" t="inlineStr">
        <is>
          <t>6-Speed Manual</t>
        </is>
      </c>
      <c r="N46" s="4" t="inlineStr">
        <is>
          <t>RWD</t>
        </is>
      </c>
      <c r="O46" s="4" t="inlineStr">
        <is>
          <t>19 (16/24)</t>
        </is>
      </c>
      <c r="P46" s="4" t="inlineStr">
        <is>
          <t>N/A</t>
        </is>
      </c>
      <c r="Q46" s="9" t="inlineStr">
        <is>
          <t>N/A</t>
        </is>
      </c>
      <c r="R46" s="4" t="n">
        <v>4</v>
      </c>
      <c r="S46" s="10" t="n">
        <v>13.8</v>
      </c>
      <c r="T46" s="4" t="inlineStr">
        <is>
          <t>N/A</t>
        </is>
      </c>
      <c r="U46" s="29" t="inlineStr">
        <is>
          <t>10/10</t>
        </is>
      </c>
      <c r="V46" s="12" t="inlineStr">
        <is>
          <t xml:space="preserve"> • Explosive twin-turbo S58 inline-6 power
 • Razor-sharp chassis tuning
 • Manual still available on key trims</t>
        </is>
      </c>
      <c r="W46" s="13" t="inlineStr">
        <is>
          <t xml:space="preserve"> • Polarizing front styling
 • Numb steering on-center feel
 • Option packages escalate price rapidly</t>
        </is>
      </c>
      <c r="X46" s="14" t="inlineStr">
        <is>
          <t>Relentlessly capable performance icons that deliver brutal track capability and executive prestige.</t>
        </is>
      </c>
      <c r="Y46" s="15" t="inlineStr">
        <is>
          <t>https://hips.hearstapps.com/hmg-prod/images/2026-bmw-m2.jpg</t>
        </is>
      </c>
      <c r="Z46" s="15" t="inlineStr">
        <is>
          <t>https://www.caranddriver.com/bmw/m2</t>
        </is>
      </c>
      <c r="AA46" s="5" t="inlineStr">
        <is>
          <t>Car and Driver 10Best Winner</t>
        </is>
      </c>
    </row>
    <row r="47" ht="48" customHeight="1">
      <c r="A47" s="16" t="n">
        <v>2026</v>
      </c>
      <c r="B47" s="17" t="inlineStr">
        <is>
          <t>BMW</t>
        </is>
      </c>
      <c r="C47" s="17" t="inlineStr">
        <is>
          <t>3-Series</t>
        </is>
      </c>
      <c r="D47" s="17" t="inlineStr">
        <is>
          <t>330i xDrive</t>
        </is>
      </c>
      <c r="E47" s="17" t="inlineStr">
        <is>
          <t>Compact Sport Sedan</t>
        </is>
      </c>
      <c r="F47" s="17" t="inlineStr">
        <is>
          <t>Mild Hybrid</t>
        </is>
      </c>
      <c r="G47" s="18" t="n">
        <v>48500</v>
      </c>
      <c r="H47" s="19" t="n">
        <v>255</v>
      </c>
      <c r="I47" s="19" t="n">
        <v>295</v>
      </c>
      <c r="J47" s="17" t="inlineStr">
        <is>
          <t>2.0L Turbo I4</t>
        </is>
      </c>
      <c r="K47" s="20" t="n">
        <v>2</v>
      </c>
      <c r="L47" s="16" t="n">
        <v>4</v>
      </c>
      <c r="M47" s="17" t="inlineStr">
        <is>
          <t>8-Speed Sport Auto</t>
        </is>
      </c>
      <c r="N47" s="16" t="inlineStr">
        <is>
          <t>AWD</t>
        </is>
      </c>
      <c r="O47" s="16" t="inlineStr">
        <is>
          <t>28 (24/33)</t>
        </is>
      </c>
      <c r="P47" s="16" t="inlineStr">
        <is>
          <t>N/A</t>
        </is>
      </c>
      <c r="Q47" s="21" t="inlineStr">
        <is>
          <t>N/A</t>
        </is>
      </c>
      <c r="R47" s="16" t="n">
        <v>5</v>
      </c>
      <c r="S47" s="22" t="n">
        <v>17</v>
      </c>
      <c r="T47" s="16" t="inlineStr">
        <is>
          <t>N/A</t>
        </is>
      </c>
      <c r="U47" s="23" t="inlineStr">
        <is>
          <t>9.5/10</t>
        </is>
      </c>
      <c r="V47" s="24" t="inlineStr">
        <is>
          <t xml:space="preserve"> • Superb real-world fuel economy
 • Smooth electric-gas power handover
 • No range anxiety on long trips</t>
        </is>
      </c>
      <c r="W47" s="25" t="inlineStr">
        <is>
          <t xml:space="preserve"> • Added curb weight from battery packs
 • Slightly compromised cargo space
 • eCVT engine flare during passing</t>
        </is>
      </c>
      <c r="X47" s="26" t="inlineStr">
        <is>
          <t>A finely engineered mild hybrid compact sport sedan striking the optimal balance between high efficiency and long-distance practicality.</t>
        </is>
      </c>
      <c r="Y47" s="27" t="inlineStr">
        <is>
          <t>https://hips.hearstapps.com/hmg-prod/images/2026-bmw-3-series.jpg</t>
        </is>
      </c>
      <c r="Z47" s="27" t="inlineStr">
        <is>
          <t>https://www.caranddriver.com/bmw/3-series</t>
        </is>
      </c>
      <c r="AA47" s="17" t="inlineStr">
        <is>
          <t>Car and Driver 10Best</t>
        </is>
      </c>
    </row>
    <row r="48" ht="48" customHeight="1">
      <c r="A48" s="4" t="n">
        <v>2026</v>
      </c>
      <c r="B48" s="5" t="inlineStr">
        <is>
          <t>BMW</t>
        </is>
      </c>
      <c r="C48" s="5" t="inlineStr">
        <is>
          <t>3-Series / M340i</t>
        </is>
      </c>
      <c r="D48" s="5" t="inlineStr">
        <is>
          <t>M340i xDrive</t>
        </is>
      </c>
      <c r="E48" s="5" t="inlineStr">
        <is>
          <t>Compact Sport Sedan</t>
        </is>
      </c>
      <c r="F48" s="5" t="inlineStr">
        <is>
          <t>Mild Hybrid</t>
        </is>
      </c>
      <c r="G48" s="6" t="n">
        <v>61775</v>
      </c>
      <c r="H48" s="7" t="n">
        <v>386</v>
      </c>
      <c r="I48" s="7" t="n">
        <v>398</v>
      </c>
      <c r="J48" s="5" t="inlineStr">
        <is>
          <t>3.0L Turbo I6 (B58)</t>
        </is>
      </c>
      <c r="K48" s="8" t="n">
        <v>3</v>
      </c>
      <c r="L48" s="4" t="n">
        <v>6</v>
      </c>
      <c r="M48" s="5" t="inlineStr">
        <is>
          <t>8-Speed Sport Auto</t>
        </is>
      </c>
      <c r="N48" s="4" t="inlineStr">
        <is>
          <t>AWD</t>
        </is>
      </c>
      <c r="O48" s="4" t="inlineStr">
        <is>
          <t>26 (23/31)</t>
        </is>
      </c>
      <c r="P48" s="4" t="inlineStr">
        <is>
          <t>N/A</t>
        </is>
      </c>
      <c r="Q48" s="9" t="inlineStr">
        <is>
          <t>N/A</t>
        </is>
      </c>
      <c r="R48" s="4" t="n">
        <v>5</v>
      </c>
      <c r="S48" s="10" t="n">
        <v>17</v>
      </c>
      <c r="T48" s="4" t="inlineStr">
        <is>
          <t>N/A</t>
        </is>
      </c>
      <c r="U48" s="29" t="inlineStr">
        <is>
          <t>10/10</t>
        </is>
      </c>
      <c r="V48" s="12" t="inlineStr">
        <is>
          <t xml:space="preserve"> • Explosive twin-turbo S58 inline-6 power
 • Razor-sharp chassis tuning
 • Manual still available on key trims</t>
        </is>
      </c>
      <c r="W48" s="13" t="inlineStr">
        <is>
          <t xml:space="preserve"> • Polarizing front styling
 • Numb steering on-center feel
 • Option packages escalate price rapidly</t>
        </is>
      </c>
      <c r="X48" s="14" t="inlineStr">
        <is>
          <t>Relentlessly capable performance icons that deliver brutal track capability and executive prestige.</t>
        </is>
      </c>
      <c r="Y48" s="15" t="inlineStr">
        <is>
          <t>https://hips.hearstapps.com/hmg-prod/images/2026-bmw-3-series-m340i.jpg</t>
        </is>
      </c>
      <c r="Z48" s="15" t="inlineStr">
        <is>
          <t>https://www.caranddriver.com/bmw/3-series</t>
        </is>
      </c>
      <c r="AA48" s="5" t="inlineStr">
        <is>
          <t>Car and Driver 10Best Winner</t>
        </is>
      </c>
    </row>
    <row r="49" ht="48" customHeight="1">
      <c r="A49" s="16" t="n">
        <v>2026</v>
      </c>
      <c r="B49" s="17" t="inlineStr">
        <is>
          <t>BMW</t>
        </is>
      </c>
      <c r="C49" s="17" t="inlineStr">
        <is>
          <t>M3</t>
        </is>
      </c>
      <c r="D49" s="17" t="inlineStr">
        <is>
          <t>Competition xDrive</t>
        </is>
      </c>
      <c r="E49" s="17" t="inlineStr">
        <is>
          <t>High-Performance Sedan</t>
        </is>
      </c>
      <c r="F49" s="17" t="inlineStr">
        <is>
          <t>Gasoline</t>
        </is>
      </c>
      <c r="G49" s="18" t="n">
        <v>86300</v>
      </c>
      <c r="H49" s="19" t="n">
        <v>523</v>
      </c>
      <c r="I49" s="19" t="n">
        <v>479</v>
      </c>
      <c r="J49" s="17" t="inlineStr">
        <is>
          <t>3.0L Twin-Turbo I6 (S58)</t>
        </is>
      </c>
      <c r="K49" s="20" t="n">
        <v>3</v>
      </c>
      <c r="L49" s="16" t="n">
        <v>6</v>
      </c>
      <c r="M49" s="17" t="inlineStr">
        <is>
          <t>8-Speed M Steptronic</t>
        </is>
      </c>
      <c r="N49" s="16" t="inlineStr">
        <is>
          <t>M xDrive AWD</t>
        </is>
      </c>
      <c r="O49" s="16" t="inlineStr">
        <is>
          <t>18 (16/22)</t>
        </is>
      </c>
      <c r="P49" s="16" t="inlineStr">
        <is>
          <t>N/A</t>
        </is>
      </c>
      <c r="Q49" s="21" t="inlineStr">
        <is>
          <t>N/A</t>
        </is>
      </c>
      <c r="R49" s="16" t="n">
        <v>5</v>
      </c>
      <c r="S49" s="22" t="n">
        <v>13</v>
      </c>
      <c r="T49" s="16" t="inlineStr">
        <is>
          <t>N/A</t>
        </is>
      </c>
      <c r="U49" s="23" t="inlineStr">
        <is>
          <t>10/10</t>
        </is>
      </c>
      <c r="V49" s="24" t="inlineStr">
        <is>
          <t xml:space="preserve"> • Explosive twin-turbo S58 inline-6 power
 • Razor-sharp chassis tuning
 • Manual still available on key trims</t>
        </is>
      </c>
      <c r="W49" s="25" t="inlineStr">
        <is>
          <t xml:space="preserve"> • Polarizing front styling
 • Numb steering on-center feel
 • Option packages escalate price rapidly</t>
        </is>
      </c>
      <c r="X49" s="26" t="inlineStr">
        <is>
          <t>Relentlessly capable performance icons that deliver brutal track capability and executive prestige.</t>
        </is>
      </c>
      <c r="Y49" s="27" t="inlineStr">
        <is>
          <t>https://hips.hearstapps.com/hmg-prod/images/2026-bmw-m3.jpg</t>
        </is>
      </c>
      <c r="Z49" s="27" t="inlineStr">
        <is>
          <t>https://www.caranddriver.com/bmw/m3</t>
        </is>
      </c>
      <c r="AA49" s="17" t="inlineStr">
        <is>
          <t>Car and Driver 10Best Winner</t>
        </is>
      </c>
    </row>
    <row r="50" ht="48" customHeight="1">
      <c r="A50" s="4" t="n">
        <v>2026</v>
      </c>
      <c r="B50" s="5" t="inlineStr">
        <is>
          <t>BMW</t>
        </is>
      </c>
      <c r="C50" s="5" t="inlineStr">
        <is>
          <t>4-Series</t>
        </is>
      </c>
      <c r="D50" s="5" t="inlineStr">
        <is>
          <t>430i Gran Coupe</t>
        </is>
      </c>
      <c r="E50" s="5" t="inlineStr">
        <is>
          <t>Compact 4-Door Coupe</t>
        </is>
      </c>
      <c r="F50" s="5" t="inlineStr">
        <is>
          <t>Mild Hybrid</t>
        </is>
      </c>
      <c r="G50" s="6" t="n">
        <v>50000</v>
      </c>
      <c r="H50" s="7" t="n">
        <v>255</v>
      </c>
      <c r="I50" s="7" t="n">
        <v>295</v>
      </c>
      <c r="J50" s="5" t="inlineStr">
        <is>
          <t>2.0L Turbo I4</t>
        </is>
      </c>
      <c r="K50" s="8" t="n">
        <v>2</v>
      </c>
      <c r="L50" s="4" t="n">
        <v>4</v>
      </c>
      <c r="M50" s="5" t="inlineStr">
        <is>
          <t>8-Speed Sport Auto</t>
        </is>
      </c>
      <c r="N50" s="4" t="inlineStr">
        <is>
          <t>RWD</t>
        </is>
      </c>
      <c r="O50" s="4" t="inlineStr">
        <is>
          <t>28 (25/34)</t>
        </is>
      </c>
      <c r="P50" s="4" t="inlineStr">
        <is>
          <t>N/A</t>
        </is>
      </c>
      <c r="Q50" s="9" t="inlineStr">
        <is>
          <t>N/A</t>
        </is>
      </c>
      <c r="R50" s="4" t="n">
        <v>5</v>
      </c>
      <c r="S50" s="10" t="n">
        <v>16.6</v>
      </c>
      <c r="T50" s="4" t="inlineStr">
        <is>
          <t>N/A</t>
        </is>
      </c>
      <c r="U50" s="11" t="inlineStr">
        <is>
          <t>9.0/10</t>
        </is>
      </c>
      <c r="V50" s="12" t="inlineStr">
        <is>
          <t xml:space="preserve"> • Superb real-world fuel economy
 • Smooth electric-gas power handover
 • No range anxiety on long trips</t>
        </is>
      </c>
      <c r="W50" s="13" t="inlineStr">
        <is>
          <t xml:space="preserve"> • Added curb weight from battery packs
 • Slightly compromised cargo space
 • eCVT engine flare during passing</t>
        </is>
      </c>
      <c r="X50" s="14" t="inlineStr">
        <is>
          <t>A finely engineered mild hybrid compact 4-door coupe striking the optimal balance between high efficiency and long-distance practicality.</t>
        </is>
      </c>
      <c r="Y50" s="15" t="inlineStr">
        <is>
          <t>https://hips.hearstapps.com/hmg-prod/images/2026-bmw-4-series.jpg</t>
        </is>
      </c>
      <c r="Z50" s="15" t="inlineStr">
        <is>
          <t>https://www.caranddriver.com/bmw/4-series</t>
        </is>
      </c>
      <c r="AA50" s="5" t="inlineStr">
        <is>
          <t>Car and Driver Editors' Choice</t>
        </is>
      </c>
    </row>
    <row r="51" ht="48" customHeight="1">
      <c r="A51" s="16" t="n">
        <v>2026</v>
      </c>
      <c r="B51" s="17" t="inlineStr">
        <is>
          <t>BMW</t>
        </is>
      </c>
      <c r="C51" s="17" t="inlineStr">
        <is>
          <t>M4</t>
        </is>
      </c>
      <c r="D51" s="17" t="inlineStr">
        <is>
          <t>Competition xDrive Coupe</t>
        </is>
      </c>
      <c r="E51" s="17" t="inlineStr">
        <is>
          <t>High-Performance Coupe</t>
        </is>
      </c>
      <c r="F51" s="17" t="inlineStr">
        <is>
          <t>Gasoline</t>
        </is>
      </c>
      <c r="G51" s="18" t="n">
        <v>89300</v>
      </c>
      <c r="H51" s="19" t="n">
        <v>523</v>
      </c>
      <c r="I51" s="19" t="n">
        <v>479</v>
      </c>
      <c r="J51" s="17" t="inlineStr">
        <is>
          <t>3.0L Twin-Turbo I6 (S58)</t>
        </is>
      </c>
      <c r="K51" s="20" t="n">
        <v>3</v>
      </c>
      <c r="L51" s="16" t="n">
        <v>6</v>
      </c>
      <c r="M51" s="17" t="inlineStr">
        <is>
          <t>8-Speed M Steptronic</t>
        </is>
      </c>
      <c r="N51" s="16" t="inlineStr">
        <is>
          <t>M xDrive AWD</t>
        </is>
      </c>
      <c r="O51" s="16" t="inlineStr">
        <is>
          <t>18 (16/22)</t>
        </is>
      </c>
      <c r="P51" s="16" t="inlineStr">
        <is>
          <t>N/A</t>
        </is>
      </c>
      <c r="Q51" s="21" t="inlineStr">
        <is>
          <t>N/A</t>
        </is>
      </c>
      <c r="R51" s="16" t="n">
        <v>4</v>
      </c>
      <c r="S51" s="22" t="n">
        <v>12</v>
      </c>
      <c r="T51" s="16" t="inlineStr">
        <is>
          <t>N/A</t>
        </is>
      </c>
      <c r="U51" s="23" t="inlineStr">
        <is>
          <t>9.5/10</t>
        </is>
      </c>
      <c r="V51" s="24" t="inlineStr">
        <is>
          <t xml:space="preserve"> • Explosive twin-turbo S58 inline-6 power
 • Razor-sharp chassis tuning
 • Manual still available on key trims</t>
        </is>
      </c>
      <c r="W51" s="25" t="inlineStr">
        <is>
          <t xml:space="preserve"> • Polarizing front styling
 • Numb steering on-center feel
 • Option packages escalate price rapidly</t>
        </is>
      </c>
      <c r="X51" s="26" t="inlineStr">
        <is>
          <t>Relentlessly capable performance icons that deliver brutal track capability and executive prestige.</t>
        </is>
      </c>
      <c r="Y51" s="27" t="inlineStr">
        <is>
          <t>https://hips.hearstapps.com/hmg-prod/images/2026-bmw-m4.jpg</t>
        </is>
      </c>
      <c r="Z51" s="27" t="inlineStr">
        <is>
          <t>https://www.caranddriver.com/bmw/m4</t>
        </is>
      </c>
      <c r="AA51" s="17" t="inlineStr">
        <is>
          <t>Car and Driver Editors' Choice</t>
        </is>
      </c>
    </row>
    <row r="52" ht="48" customHeight="1">
      <c r="A52" s="4" t="n">
        <v>2026</v>
      </c>
      <c r="B52" s="5" t="inlineStr">
        <is>
          <t>BMW</t>
        </is>
      </c>
      <c r="C52" s="5" t="inlineStr">
        <is>
          <t>i4</t>
        </is>
      </c>
      <c r="D52" s="5" t="inlineStr">
        <is>
          <t>eDrive40 Gran Coupe</t>
        </is>
      </c>
      <c r="E52" s="5" t="inlineStr">
        <is>
          <t>Compact EV Sedan</t>
        </is>
      </c>
      <c r="F52" s="5" t="inlineStr">
        <is>
          <t>Electric</t>
        </is>
      </c>
      <c r="G52" s="6" t="n">
        <v>59075</v>
      </c>
      <c r="H52" s="7" t="n">
        <v>335</v>
      </c>
      <c r="I52" s="7" t="n">
        <v>317</v>
      </c>
      <c r="J52" s="5" t="inlineStr">
        <is>
          <t>Rear Electric Motor</t>
        </is>
      </c>
      <c r="K52" s="4" t="inlineStr">
        <is>
          <t>N/A</t>
        </is>
      </c>
      <c r="L52" s="4" t="n">
        <v>0</v>
      </c>
      <c r="M52" s="5" t="inlineStr">
        <is>
          <t>1-Speed Direct</t>
        </is>
      </c>
      <c r="N52" s="4" t="inlineStr">
        <is>
          <t>RWD</t>
        </is>
      </c>
      <c r="O52" s="4" t="inlineStr">
        <is>
          <t>109 MPGe</t>
        </is>
      </c>
      <c r="P52" s="4" t="inlineStr">
        <is>
          <t>318</t>
        </is>
      </c>
      <c r="Q52" s="10" t="n">
        <v>84.3</v>
      </c>
      <c r="R52" s="4" t="n">
        <v>5</v>
      </c>
      <c r="S52" s="10" t="n">
        <v>10</v>
      </c>
      <c r="T52" s="4" t="inlineStr">
        <is>
          <t>N/A</t>
        </is>
      </c>
      <c r="U52" s="11" t="inlineStr">
        <is>
          <t>9.0/10</t>
        </is>
      </c>
      <c r="V52" s="12" t="inlineStr">
        <is>
          <t xml:space="preserve"> • Silent, instantaneous acceleration
 • Low center of gravity enhances stability
 • Zero tailpipe emissions</t>
        </is>
      </c>
      <c r="W52" s="13" t="inlineStr">
        <is>
          <t xml:space="preserve"> • Highway range drops at sustained speed
 • Public charging network variability
 • Pricier initial purchase cost</t>
        </is>
      </c>
      <c r="X52" s="14" t="inlineStr">
        <is>
          <t>A compelling electric entry in the compact ev sedan segment offering smooth power delivery and advanced tech.</t>
        </is>
      </c>
      <c r="Y52" s="15" t="inlineStr">
        <is>
          <t>https://hips.hearstapps.com/hmg-prod/images/2026-bmw-i4.jpg</t>
        </is>
      </c>
      <c r="Z52" s="15" t="inlineStr">
        <is>
          <t>https://www.caranddriver.com/bmw/i4</t>
        </is>
      </c>
      <c r="AA52" s="5" t="inlineStr">
        <is>
          <t>Car and Driver 10Best</t>
        </is>
      </c>
    </row>
    <row r="53" ht="48" customHeight="1">
      <c r="A53" s="16" t="n">
        <v>2026</v>
      </c>
      <c r="B53" s="17" t="inlineStr">
        <is>
          <t>BMW</t>
        </is>
      </c>
      <c r="C53" s="17" t="inlineStr">
        <is>
          <t>i4</t>
        </is>
      </c>
      <c r="D53" s="17" t="inlineStr">
        <is>
          <t>M50 xDrive</t>
        </is>
      </c>
      <c r="E53" s="17" t="inlineStr">
        <is>
          <t>Performance EV Sedan</t>
        </is>
      </c>
      <c r="F53" s="17" t="inlineStr">
        <is>
          <t>Electric</t>
        </is>
      </c>
      <c r="G53" s="18" t="n">
        <v>71000</v>
      </c>
      <c r="H53" s="19" t="n">
        <v>536</v>
      </c>
      <c r="I53" s="19" t="n">
        <v>586</v>
      </c>
      <c r="J53" s="17" t="inlineStr">
        <is>
          <t>Dual Electric Motors</t>
        </is>
      </c>
      <c r="K53" s="16" t="inlineStr">
        <is>
          <t>N/A</t>
        </is>
      </c>
      <c r="L53" s="16" t="n">
        <v>0</v>
      </c>
      <c r="M53" s="17" t="inlineStr">
        <is>
          <t>1-Speed Direct</t>
        </is>
      </c>
      <c r="N53" s="16" t="inlineStr">
        <is>
          <t>AWD</t>
        </is>
      </c>
      <c r="O53" s="16" t="inlineStr">
        <is>
          <t>95 MPGe</t>
        </is>
      </c>
      <c r="P53" s="16" t="inlineStr">
        <is>
          <t>269</t>
        </is>
      </c>
      <c r="Q53" s="22" t="n">
        <v>84.3</v>
      </c>
      <c r="R53" s="16" t="n">
        <v>5</v>
      </c>
      <c r="S53" s="22" t="n">
        <v>10</v>
      </c>
      <c r="T53" s="16" t="inlineStr">
        <is>
          <t>N/A</t>
        </is>
      </c>
      <c r="U53" s="28" t="inlineStr">
        <is>
          <t>9.0/10</t>
        </is>
      </c>
      <c r="V53" s="24" t="inlineStr">
        <is>
          <t xml:space="preserve"> • Silent, instantaneous acceleration
 • Low center of gravity enhances stability
 • Zero tailpipe emissions</t>
        </is>
      </c>
      <c r="W53" s="25" t="inlineStr">
        <is>
          <t xml:space="preserve"> • Highway range drops at sustained speed
 • Public charging network variability
 • Pricier initial purchase cost</t>
        </is>
      </c>
      <c r="X53" s="26" t="inlineStr">
        <is>
          <t>A compelling electric entry in the performance ev sedan segment offering smooth power delivery and advanced tech.</t>
        </is>
      </c>
      <c r="Y53" s="27" t="inlineStr">
        <is>
          <t>https://hips.hearstapps.com/hmg-prod/images/2026-bmw-i4.jpg</t>
        </is>
      </c>
      <c r="Z53" s="27" t="inlineStr">
        <is>
          <t>https://www.caranddriver.com/bmw/i4</t>
        </is>
      </c>
      <c r="AA53" s="17" t="inlineStr">
        <is>
          <t>Car and Driver Editors' Choice</t>
        </is>
      </c>
    </row>
    <row r="54" ht="48" customHeight="1">
      <c r="A54" s="4" t="n">
        <v>2026</v>
      </c>
      <c r="B54" s="5" t="inlineStr">
        <is>
          <t>BMW</t>
        </is>
      </c>
      <c r="C54" s="5" t="inlineStr">
        <is>
          <t>5-Series</t>
        </is>
      </c>
      <c r="D54" s="5" t="inlineStr">
        <is>
          <t>540i xDrive</t>
        </is>
      </c>
      <c r="E54" s="5" t="inlineStr">
        <is>
          <t>Executive Luxury Sedan</t>
        </is>
      </c>
      <c r="F54" s="5" t="inlineStr">
        <is>
          <t>Mild Hybrid</t>
        </is>
      </c>
      <c r="G54" s="6" t="n">
        <v>66500</v>
      </c>
      <c r="H54" s="7" t="n">
        <v>375</v>
      </c>
      <c r="I54" s="7" t="n">
        <v>398</v>
      </c>
      <c r="J54" s="5" t="inlineStr">
        <is>
          <t>3.0L Turbo I6 48V</t>
        </is>
      </c>
      <c r="K54" s="8" t="n">
        <v>3</v>
      </c>
      <c r="L54" s="4" t="n">
        <v>6</v>
      </c>
      <c r="M54" s="5" t="inlineStr">
        <is>
          <t>8-Speed Steptronic</t>
        </is>
      </c>
      <c r="N54" s="4" t="inlineStr">
        <is>
          <t>xDrive AWD</t>
        </is>
      </c>
      <c r="O54" s="4" t="inlineStr">
        <is>
          <t>28 (26/33)</t>
        </is>
      </c>
      <c r="P54" s="4" t="inlineStr">
        <is>
          <t>N/A</t>
        </is>
      </c>
      <c r="Q54" s="9" t="inlineStr">
        <is>
          <t>N/A</t>
        </is>
      </c>
      <c r="R54" s="4" t="n">
        <v>5</v>
      </c>
      <c r="S54" s="10" t="n">
        <v>18.4</v>
      </c>
      <c r="T54" s="4" t="inlineStr">
        <is>
          <t>N/A</t>
        </is>
      </c>
      <c r="U54" s="11" t="inlineStr">
        <is>
          <t>9.0/10</t>
        </is>
      </c>
      <c r="V54" s="12" t="inlineStr">
        <is>
          <t xml:space="preserve"> • Superb real-world fuel economy
 • Smooth electric-gas power handover
 • No range anxiety on long trips</t>
        </is>
      </c>
      <c r="W54" s="13" t="inlineStr">
        <is>
          <t xml:space="preserve"> • Added curb weight from battery packs
 • Slightly compromised cargo space
 • eCVT engine flare during passing</t>
        </is>
      </c>
      <c r="X54" s="14" t="inlineStr">
        <is>
          <t>A finely engineered mild hybrid executive luxury sedan striking the optimal balance between high efficiency and long-distance practicality.</t>
        </is>
      </c>
      <c r="Y54" s="15" t="inlineStr">
        <is>
          <t>https://hips.hearstapps.com/hmg-prod/images/2026-bmw-5-series.jpg</t>
        </is>
      </c>
      <c r="Z54" s="15" t="inlineStr">
        <is>
          <t>https://www.caranddriver.com/bmw/5-series</t>
        </is>
      </c>
      <c r="AA54" s="5" t="inlineStr">
        <is>
          <t>Car and Driver Editors' Choice</t>
        </is>
      </c>
    </row>
    <row r="55" ht="48" customHeight="1">
      <c r="A55" s="16" t="n">
        <v>2026</v>
      </c>
      <c r="B55" s="17" t="inlineStr">
        <is>
          <t>BMW</t>
        </is>
      </c>
      <c r="C55" s="17" t="inlineStr">
        <is>
          <t>M5</t>
        </is>
      </c>
      <c r="D55" s="17" t="inlineStr">
        <is>
          <t>Sedan Base</t>
        </is>
      </c>
      <c r="E55" s="17" t="inlineStr">
        <is>
          <t>High-Performance Sedan</t>
        </is>
      </c>
      <c r="F55" s="17" t="inlineStr">
        <is>
          <t>PHEV</t>
        </is>
      </c>
      <c r="G55" s="18" t="n">
        <v>120675</v>
      </c>
      <c r="H55" s="19" t="n">
        <v>717</v>
      </c>
      <c r="I55" s="19" t="n">
        <v>738</v>
      </c>
      <c r="J55" s="17" t="inlineStr">
        <is>
          <t>4.4L Twin-Turbo V8 + Motor</t>
        </is>
      </c>
      <c r="K55" s="20" t="n">
        <v>4.4</v>
      </c>
      <c r="L55" s="16" t="n">
        <v>8</v>
      </c>
      <c r="M55" s="17" t="inlineStr">
        <is>
          <t>8-Speed M Steptronic</t>
        </is>
      </c>
      <c r="N55" s="16" t="inlineStr">
        <is>
          <t>M xDrive AWD</t>
        </is>
      </c>
      <c r="O55" s="16" t="inlineStr">
        <is>
          <t>22 MPGe / 17 Comb</t>
        </is>
      </c>
      <c r="P55" s="16" t="inlineStr">
        <is>
          <t>25</t>
        </is>
      </c>
      <c r="Q55" s="22" t="n">
        <v>14.8</v>
      </c>
      <c r="R55" s="16" t="n">
        <v>5</v>
      </c>
      <c r="S55" s="22" t="n">
        <v>16.5</v>
      </c>
      <c r="T55" s="16" t="inlineStr">
        <is>
          <t>N/A</t>
        </is>
      </c>
      <c r="U55" s="28" t="inlineStr">
        <is>
          <t>9.0/10</t>
        </is>
      </c>
      <c r="V55" s="24" t="inlineStr">
        <is>
          <t xml:space="preserve"> • Superb real-world fuel economy
 • Smooth electric-gas power handover
 • No range anxiety on long trips</t>
        </is>
      </c>
      <c r="W55" s="25" t="inlineStr">
        <is>
          <t xml:space="preserve"> • Added curb weight from battery packs
 • Slightly compromised cargo space
 • eCVT engine flare during passing</t>
        </is>
      </c>
      <c r="X55" s="26" t="inlineStr">
        <is>
          <t>A finely engineered phev high-performance sedan striking the optimal balance between high efficiency and long-distance practicality.</t>
        </is>
      </c>
      <c r="Y55" s="27" t="inlineStr">
        <is>
          <t>https://hips.hearstapps.com/hmg-prod/images/2026-bmw-m5.jpg</t>
        </is>
      </c>
      <c r="Z55" s="27" t="inlineStr">
        <is>
          <t>https://www.caranddriver.com/bmw/m5</t>
        </is>
      </c>
      <c r="AA55" s="17" t="inlineStr">
        <is>
          <t>Car and Driver Tested</t>
        </is>
      </c>
    </row>
    <row r="56" ht="48" customHeight="1">
      <c r="A56" s="4" t="n">
        <v>2026</v>
      </c>
      <c r="B56" s="5" t="inlineStr">
        <is>
          <t>BMW</t>
        </is>
      </c>
      <c r="C56" s="5" t="inlineStr">
        <is>
          <t>7-Series</t>
        </is>
      </c>
      <c r="D56" s="5" t="inlineStr">
        <is>
          <t>760i xDrive</t>
        </is>
      </c>
      <c r="E56" s="5" t="inlineStr">
        <is>
          <t>Full-Size Luxury Sedan</t>
        </is>
      </c>
      <c r="F56" s="5" t="inlineStr">
        <is>
          <t>Mild Hybrid</t>
        </is>
      </c>
      <c r="G56" s="6" t="n">
        <v>122500</v>
      </c>
      <c r="H56" s="7" t="n">
        <v>536</v>
      </c>
      <c r="I56" s="7" t="n">
        <v>553</v>
      </c>
      <c r="J56" s="5" t="inlineStr">
        <is>
          <t>4.4L Twin-Turbo V8</t>
        </is>
      </c>
      <c r="K56" s="8" t="n">
        <v>4.4</v>
      </c>
      <c r="L56" s="4" t="n">
        <v>8</v>
      </c>
      <c r="M56" s="5" t="inlineStr">
        <is>
          <t>8-Speed Auto</t>
        </is>
      </c>
      <c r="N56" s="4" t="inlineStr">
        <is>
          <t>xDrive AWD</t>
        </is>
      </c>
      <c r="O56" s="4" t="inlineStr">
        <is>
          <t>20 (18/25)</t>
        </is>
      </c>
      <c r="P56" s="4" t="inlineStr">
        <is>
          <t>N/A</t>
        </is>
      </c>
      <c r="Q56" s="9" t="inlineStr">
        <is>
          <t>N/A</t>
        </is>
      </c>
      <c r="R56" s="4" t="n">
        <v>5</v>
      </c>
      <c r="S56" s="10" t="n">
        <v>13.7</v>
      </c>
      <c r="T56" s="4" t="inlineStr">
        <is>
          <t>N/A</t>
        </is>
      </c>
      <c r="U56" s="11" t="inlineStr">
        <is>
          <t>9.0/10</t>
        </is>
      </c>
      <c r="V56" s="12" t="inlineStr">
        <is>
          <t xml:space="preserve"> • Superb real-world fuel economy
 • Smooth electric-gas power handover
 • No range anxiety on long trips</t>
        </is>
      </c>
      <c r="W56" s="13" t="inlineStr">
        <is>
          <t xml:space="preserve"> • Added curb weight from battery packs
 • Slightly compromised cargo space
 • eCVT engine flare during passing</t>
        </is>
      </c>
      <c r="X56" s="14" t="inlineStr">
        <is>
          <t>A finely engineered mild hybrid full-size luxury sedan striking the optimal balance between high efficiency and long-distance practicality.</t>
        </is>
      </c>
      <c r="Y56" s="15" t="inlineStr">
        <is>
          <t>https://hips.hearstapps.com/hmg-prod/images/2026-bmw-7-series.jpg</t>
        </is>
      </c>
      <c r="Z56" s="15" t="inlineStr">
        <is>
          <t>https://www.caranddriver.com/bmw/7-series</t>
        </is>
      </c>
      <c r="AA56" s="5" t="inlineStr">
        <is>
          <t>Car and Driver Editors' Choice</t>
        </is>
      </c>
    </row>
    <row r="57" ht="48" customHeight="1">
      <c r="A57" s="16" t="n">
        <v>2026</v>
      </c>
      <c r="B57" s="17" t="inlineStr">
        <is>
          <t>BMW</t>
        </is>
      </c>
      <c r="C57" s="17" t="inlineStr">
        <is>
          <t>i7</t>
        </is>
      </c>
      <c r="D57" s="17" t="inlineStr">
        <is>
          <t>M70 xDrive</t>
        </is>
      </c>
      <c r="E57" s="17" t="inlineStr">
        <is>
          <t>Ultra-Luxury Flagship EV</t>
        </is>
      </c>
      <c r="F57" s="17" t="inlineStr">
        <is>
          <t>Electric</t>
        </is>
      </c>
      <c r="G57" s="18" t="n">
        <v>169500</v>
      </c>
      <c r="H57" s="19" t="n">
        <v>650</v>
      </c>
      <c r="I57" s="19" t="n">
        <v>811</v>
      </c>
      <c r="J57" s="17" t="inlineStr">
        <is>
          <t>Dual Electric Motors</t>
        </is>
      </c>
      <c r="K57" s="16" t="inlineStr">
        <is>
          <t>N/A</t>
        </is>
      </c>
      <c r="L57" s="16" t="n">
        <v>0</v>
      </c>
      <c r="M57" s="17" t="inlineStr">
        <is>
          <t>1-Speed Direct</t>
        </is>
      </c>
      <c r="N57" s="16" t="inlineStr">
        <is>
          <t>AWD</t>
        </is>
      </c>
      <c r="O57" s="16" t="inlineStr">
        <is>
          <t>77 MPGe</t>
        </is>
      </c>
      <c r="P57" s="16" t="inlineStr">
        <is>
          <t>291</t>
        </is>
      </c>
      <c r="Q57" s="22" t="n">
        <v>105.7</v>
      </c>
      <c r="R57" s="16" t="n">
        <v>5</v>
      </c>
      <c r="S57" s="22" t="n">
        <v>11.4</v>
      </c>
      <c r="T57" s="16" t="inlineStr">
        <is>
          <t>N/A</t>
        </is>
      </c>
      <c r="U57" s="28" t="inlineStr">
        <is>
          <t>9.0/10</t>
        </is>
      </c>
      <c r="V57" s="24" t="inlineStr">
        <is>
          <t xml:space="preserve"> • Silent, instantaneous acceleration
 • Low center of gravity enhances stability
 • Zero tailpipe emissions</t>
        </is>
      </c>
      <c r="W57" s="25" t="inlineStr">
        <is>
          <t xml:space="preserve"> • Highway range drops at sustained speed
 • Public charging network variability
 • Pricier initial purchase cost</t>
        </is>
      </c>
      <c r="X57" s="26" t="inlineStr">
        <is>
          <t>A compelling electric entry in the ultra-luxury flagship ev segment offering smooth power delivery and advanced tech.</t>
        </is>
      </c>
      <c r="Y57" s="27" t="inlineStr">
        <is>
          <t>https://hips.hearstapps.com/hmg-prod/images/2026-bmw-i7.jpg</t>
        </is>
      </c>
      <c r="Z57" s="27" t="inlineStr">
        <is>
          <t>https://www.caranddriver.com/bmw/i7</t>
        </is>
      </c>
      <c r="AA57" s="17" t="inlineStr">
        <is>
          <t>Car and Driver Review</t>
        </is>
      </c>
    </row>
    <row r="58" ht="48" customHeight="1">
      <c r="A58" s="4" t="n">
        <v>2026</v>
      </c>
      <c r="B58" s="5" t="inlineStr">
        <is>
          <t>BMW</t>
        </is>
      </c>
      <c r="C58" s="5" t="inlineStr">
        <is>
          <t>8-Series / M8</t>
        </is>
      </c>
      <c r="D58" s="5" t="inlineStr">
        <is>
          <t>M8 Competition Gran Coupe</t>
        </is>
      </c>
      <c r="E58" s="5" t="inlineStr">
        <is>
          <t>Super Luxury 4-Door</t>
        </is>
      </c>
      <c r="F58" s="5" t="inlineStr">
        <is>
          <t>Gasoline</t>
        </is>
      </c>
      <c r="G58" s="6" t="n">
        <v>140000</v>
      </c>
      <c r="H58" s="7" t="n">
        <v>617</v>
      </c>
      <c r="I58" s="7" t="n">
        <v>553</v>
      </c>
      <c r="J58" s="5" t="inlineStr">
        <is>
          <t>4.4L Twin-Turbo V8</t>
        </is>
      </c>
      <c r="K58" s="8" t="n">
        <v>4.4</v>
      </c>
      <c r="L58" s="4" t="n">
        <v>8</v>
      </c>
      <c r="M58" s="5" t="inlineStr">
        <is>
          <t>8-Speed M Steptronic</t>
        </is>
      </c>
      <c r="N58" s="4" t="inlineStr">
        <is>
          <t>M xDrive AWD</t>
        </is>
      </c>
      <c r="O58" s="4" t="inlineStr">
        <is>
          <t>17 (15/22)</t>
        </is>
      </c>
      <c r="P58" s="4" t="inlineStr">
        <is>
          <t>N/A</t>
        </is>
      </c>
      <c r="Q58" s="9" t="inlineStr">
        <is>
          <t>N/A</t>
        </is>
      </c>
      <c r="R58" s="4" t="n">
        <v>5</v>
      </c>
      <c r="S58" s="10" t="n">
        <v>11</v>
      </c>
      <c r="T58" s="4" t="inlineStr">
        <is>
          <t>N/A</t>
        </is>
      </c>
      <c r="U58" s="11" t="inlineStr">
        <is>
          <t>9.0/10</t>
        </is>
      </c>
      <c r="V58" s="12" t="inlineStr">
        <is>
          <t xml:space="preserve"> • Refined performance and chassis poise
 • Comfortable ergonomic cabin
 • Comprehensive safety suite</t>
        </is>
      </c>
      <c r="W58" s="13" t="inlineStr">
        <is>
          <t xml:space="preserve"> • Firm ride on optional large wheels
 • Option packages add up quickly
 • Infotainment learning curve</t>
        </is>
      </c>
      <c r="X58" s="14" t="inlineStr">
        <is>
          <t>A solid, well-rounded contender in the US super luxury 4-door class with competitive dynamics.</t>
        </is>
      </c>
      <c r="Y58" s="15" t="inlineStr">
        <is>
          <t>https://hips.hearstapps.com/hmg-prod/images/2026-bmw-8-series-m8.jpg</t>
        </is>
      </c>
      <c r="Z58" s="15" t="inlineStr">
        <is>
          <t>https://www.caranddriver.com/bmw/m8-gran-coupe</t>
        </is>
      </c>
      <c r="AA58" s="5" t="inlineStr">
        <is>
          <t>Car and Driver Buyer's Guide</t>
        </is>
      </c>
    </row>
    <row r="59" ht="48" customHeight="1">
      <c r="A59" s="16" t="n">
        <v>2026</v>
      </c>
      <c r="B59" s="17" t="inlineStr">
        <is>
          <t>BMW</t>
        </is>
      </c>
      <c r="C59" s="17" t="inlineStr">
        <is>
          <t>Z4</t>
        </is>
      </c>
      <c r="D59" s="17" t="inlineStr">
        <is>
          <t>M40i Handschalter (6MT)</t>
        </is>
      </c>
      <c r="E59" s="17" t="inlineStr">
        <is>
          <t>Roadster</t>
        </is>
      </c>
      <c r="F59" s="17" t="inlineStr">
        <is>
          <t>Gasoline</t>
        </is>
      </c>
      <c r="G59" s="18" t="n">
        <v>71000</v>
      </c>
      <c r="H59" s="19" t="n">
        <v>382</v>
      </c>
      <c r="I59" s="19" t="n">
        <v>369</v>
      </c>
      <c r="J59" s="17" t="inlineStr">
        <is>
          <t>3.0L Turbo I6 (B58)</t>
        </is>
      </c>
      <c r="K59" s="20" t="n">
        <v>3</v>
      </c>
      <c r="L59" s="16" t="n">
        <v>6</v>
      </c>
      <c r="M59" s="17" t="inlineStr">
        <is>
          <t>6-Speed Manual</t>
        </is>
      </c>
      <c r="N59" s="16" t="inlineStr">
        <is>
          <t>RWD</t>
        </is>
      </c>
      <c r="O59" s="16" t="inlineStr">
        <is>
          <t>26 (23/31)</t>
        </is>
      </c>
      <c r="P59" s="16" t="inlineStr">
        <is>
          <t>N/A</t>
        </is>
      </c>
      <c r="Q59" s="21" t="inlineStr">
        <is>
          <t>N/A</t>
        </is>
      </c>
      <c r="R59" s="16" t="n">
        <v>2</v>
      </c>
      <c r="S59" s="22" t="n">
        <v>9.9</v>
      </c>
      <c r="T59" s="16" t="inlineStr">
        <is>
          <t>N/A</t>
        </is>
      </c>
      <c r="U59" s="23" t="inlineStr">
        <is>
          <t>9.5/10</t>
        </is>
      </c>
      <c r="V59" s="24" t="inlineStr">
        <is>
          <t xml:space="preserve"> • Refined performance and chassis poise
 • Comfortable ergonomic cabin
 • Comprehensive safety suite</t>
        </is>
      </c>
      <c r="W59" s="25" t="inlineStr">
        <is>
          <t xml:space="preserve"> • Firm ride on optional large wheels
 • Option packages add up quickly
 • Infotainment learning curve</t>
        </is>
      </c>
      <c r="X59" s="26" t="inlineStr">
        <is>
          <t>A solid, well-rounded contender in the US roadster class with competitive dynamics.</t>
        </is>
      </c>
      <c r="Y59" s="27" t="inlineStr">
        <is>
          <t>https://hips.hearstapps.com/hmg-prod/images/2026-bmw-z4.jpg</t>
        </is>
      </c>
      <c r="Z59" s="27" t="inlineStr">
        <is>
          <t>https://www.caranddriver.com/bmw/z4</t>
        </is>
      </c>
      <c r="AA59" s="17" t="inlineStr">
        <is>
          <t>Car and Driver Editors' Choice</t>
        </is>
      </c>
    </row>
    <row r="60" ht="48" customHeight="1">
      <c r="A60" s="4" t="n">
        <v>2026</v>
      </c>
      <c r="B60" s="5" t="inlineStr">
        <is>
          <t>BMW</t>
        </is>
      </c>
      <c r="C60" s="5" t="inlineStr">
        <is>
          <t>X1</t>
        </is>
      </c>
      <c r="D60" s="5" t="inlineStr">
        <is>
          <t>M35i xDrive</t>
        </is>
      </c>
      <c r="E60" s="5" t="inlineStr">
        <is>
          <t>Subcompact Sport SUV</t>
        </is>
      </c>
      <c r="F60" s="5" t="inlineStr">
        <is>
          <t>Gasoline</t>
        </is>
      </c>
      <c r="G60" s="6" t="n">
        <v>51000</v>
      </c>
      <c r="H60" s="7" t="n">
        <v>312</v>
      </c>
      <c r="I60" s="7" t="n">
        <v>295</v>
      </c>
      <c r="J60" s="5" t="inlineStr">
        <is>
          <t>2.0L Turbo I4</t>
        </is>
      </c>
      <c r="K60" s="8" t="n">
        <v>2</v>
      </c>
      <c r="L60" s="4" t="n">
        <v>4</v>
      </c>
      <c r="M60" s="5" t="inlineStr">
        <is>
          <t>7-Speed Dual-Clutch</t>
        </is>
      </c>
      <c r="N60" s="4" t="inlineStr">
        <is>
          <t>xDrive AWD</t>
        </is>
      </c>
      <c r="O60" s="4" t="inlineStr">
        <is>
          <t>26 (23/31)</t>
        </is>
      </c>
      <c r="P60" s="4" t="inlineStr">
        <is>
          <t>N/A</t>
        </is>
      </c>
      <c r="Q60" s="9" t="inlineStr">
        <is>
          <t>N/A</t>
        </is>
      </c>
      <c r="R60" s="4" t="n">
        <v>5</v>
      </c>
      <c r="S60" s="10" t="n">
        <v>25.7</v>
      </c>
      <c r="T60" s="7" t="n">
        <v>3500</v>
      </c>
      <c r="U60" s="11" t="inlineStr">
        <is>
          <t>9.0/10</t>
        </is>
      </c>
      <c r="V60" s="12" t="inlineStr">
        <is>
          <t xml:space="preserve"> • Spacious passenger and cargo room
 • Commanding elevated driving position
 • Confidence-inspiring all-weather grip</t>
        </is>
      </c>
      <c r="W60" s="13" t="inlineStr">
        <is>
          <t xml:space="preserve"> • Higher center of gravity than sedans
 • Fuel consumption under heavy load
 • Less engaging steering feel</t>
        </is>
      </c>
      <c r="X60" s="14" t="inlineStr">
        <is>
          <t>A highly versatile subcompact sport suv that delivers generous space, modern safety tech, and daily utility.</t>
        </is>
      </c>
      <c r="Y60" s="15" t="inlineStr">
        <is>
          <t>https://hips.hearstapps.com/hmg-prod/images/2026-bmw-x1.jpg</t>
        </is>
      </c>
      <c r="Z60" s="15" t="inlineStr">
        <is>
          <t>https://www.caranddriver.com/bmw/x1</t>
        </is>
      </c>
      <c r="AA60" s="5" t="inlineStr">
        <is>
          <t>Car and Driver 10Best</t>
        </is>
      </c>
    </row>
    <row r="61" ht="48" customHeight="1">
      <c r="A61" s="16" t="n">
        <v>2026</v>
      </c>
      <c r="B61" s="17" t="inlineStr">
        <is>
          <t>BMW</t>
        </is>
      </c>
      <c r="C61" s="17" t="inlineStr">
        <is>
          <t>X3</t>
        </is>
      </c>
      <c r="D61" s="17" t="inlineStr">
        <is>
          <t>M50 xDrive</t>
        </is>
      </c>
      <c r="E61" s="17" t="inlineStr">
        <is>
          <t>Compact Luxury SUV</t>
        </is>
      </c>
      <c r="F61" s="17" t="inlineStr">
        <is>
          <t>Mild Hybrid</t>
        </is>
      </c>
      <c r="G61" s="18" t="n">
        <v>65275</v>
      </c>
      <c r="H61" s="19" t="n">
        <v>393</v>
      </c>
      <c r="I61" s="19" t="n">
        <v>428</v>
      </c>
      <c r="J61" s="17" t="inlineStr">
        <is>
          <t>3.0L Turbo I6 48V</t>
        </is>
      </c>
      <c r="K61" s="20" t="n">
        <v>3</v>
      </c>
      <c r="L61" s="16" t="n">
        <v>6</v>
      </c>
      <c r="M61" s="17" t="inlineStr">
        <is>
          <t>8-Speed Sport Auto</t>
        </is>
      </c>
      <c r="N61" s="16" t="inlineStr">
        <is>
          <t>xDrive AWD</t>
        </is>
      </c>
      <c r="O61" s="16" t="inlineStr">
        <is>
          <t>27 (25/30)</t>
        </is>
      </c>
      <c r="P61" s="16" t="inlineStr">
        <is>
          <t>N/A</t>
        </is>
      </c>
      <c r="Q61" s="21" t="inlineStr">
        <is>
          <t>N/A</t>
        </is>
      </c>
      <c r="R61" s="16" t="n">
        <v>5</v>
      </c>
      <c r="S61" s="22" t="n">
        <v>31.5</v>
      </c>
      <c r="T61" s="19" t="n">
        <v>4850</v>
      </c>
      <c r="U61" s="28" t="inlineStr">
        <is>
          <t>9.0/10</t>
        </is>
      </c>
      <c r="V61" s="24" t="inlineStr">
        <is>
          <t xml:space="preserve"> • Superb real-world fuel economy
 • Smooth electric-gas power handover
 • No range anxiety on long trips</t>
        </is>
      </c>
      <c r="W61" s="25" t="inlineStr">
        <is>
          <t xml:space="preserve"> • Added curb weight from battery packs
 • Slightly compromised cargo space
 • eCVT engine flare during passing</t>
        </is>
      </c>
      <c r="X61" s="26" t="inlineStr">
        <is>
          <t>A finely engineered mild hybrid compact luxury suv striking the optimal balance between high efficiency and long-distance practicality.</t>
        </is>
      </c>
      <c r="Y61" s="27" t="inlineStr">
        <is>
          <t>https://hips.hearstapps.com/hmg-prod/images/2026-bmw-x3.jpg</t>
        </is>
      </c>
      <c r="Z61" s="27" t="inlineStr">
        <is>
          <t>https://www.caranddriver.com/bmw/x3</t>
        </is>
      </c>
      <c r="AA61" s="17" t="inlineStr">
        <is>
          <t>Car and Driver Editors' Choice</t>
        </is>
      </c>
    </row>
    <row r="62" ht="48" customHeight="1">
      <c r="A62" s="4" t="n">
        <v>2026</v>
      </c>
      <c r="B62" s="5" t="inlineStr">
        <is>
          <t>BMW</t>
        </is>
      </c>
      <c r="C62" s="5" t="inlineStr">
        <is>
          <t>X5</t>
        </is>
      </c>
      <c r="D62" s="5" t="inlineStr">
        <is>
          <t>xDrive50e</t>
        </is>
      </c>
      <c r="E62" s="5" t="inlineStr">
        <is>
          <t>Mid-Size Luxury SUV</t>
        </is>
      </c>
      <c r="F62" s="5" t="inlineStr">
        <is>
          <t>PHEV</t>
        </is>
      </c>
      <c r="G62" s="6" t="n">
        <v>74275</v>
      </c>
      <c r="H62" s="7" t="n">
        <v>483</v>
      </c>
      <c r="I62" s="7" t="n">
        <v>516</v>
      </c>
      <c r="J62" s="5" t="inlineStr">
        <is>
          <t>3.0L Turbo I6 + Motor</t>
        </is>
      </c>
      <c r="K62" s="8" t="n">
        <v>3</v>
      </c>
      <c r="L62" s="4" t="n">
        <v>6</v>
      </c>
      <c r="M62" s="5" t="inlineStr">
        <is>
          <t>8-Speed Sport Auto</t>
        </is>
      </c>
      <c r="N62" s="4" t="inlineStr">
        <is>
          <t>xDrive AWD</t>
        </is>
      </c>
      <c r="O62" s="4" t="inlineStr">
        <is>
          <t>58 MPGe / 22 Comb</t>
        </is>
      </c>
      <c r="P62" s="4" t="inlineStr">
        <is>
          <t>38</t>
        </is>
      </c>
      <c r="Q62" s="10" t="n">
        <v>25.7</v>
      </c>
      <c r="R62" s="4" t="n">
        <v>5</v>
      </c>
      <c r="S62" s="10" t="n">
        <v>33.1</v>
      </c>
      <c r="T62" s="7" t="n">
        <v>5952</v>
      </c>
      <c r="U62" s="29" t="inlineStr">
        <is>
          <t>9.5/10</t>
        </is>
      </c>
      <c r="V62" s="12" t="inlineStr">
        <is>
          <t xml:space="preserve"> • Superb real-world fuel economy
 • Smooth electric-gas power handover
 • No range anxiety on long trips</t>
        </is>
      </c>
      <c r="W62" s="13" t="inlineStr">
        <is>
          <t xml:space="preserve"> • Added curb weight from battery packs
 • Slightly compromised cargo space
 • eCVT engine flare during passing</t>
        </is>
      </c>
      <c r="X62" s="14" t="inlineStr">
        <is>
          <t>A finely engineered phev mid-size luxury suv striking the optimal balance between high efficiency and long-distance practicality.</t>
        </is>
      </c>
      <c r="Y62" s="15" t="inlineStr">
        <is>
          <t>https://hips.hearstapps.com/hmg-prod/images/2026-bmw-x5.jpg</t>
        </is>
      </c>
      <c r="Z62" s="15" t="inlineStr">
        <is>
          <t>https://www.caranddriver.com/bmw/x5</t>
        </is>
      </c>
      <c r="AA62" s="5" t="inlineStr">
        <is>
          <t>Car and Driver 10Best Winner</t>
        </is>
      </c>
    </row>
    <row r="63" ht="48" customHeight="1">
      <c r="A63" s="16" t="n">
        <v>2026</v>
      </c>
      <c r="B63" s="17" t="inlineStr">
        <is>
          <t>BMW</t>
        </is>
      </c>
      <c r="C63" s="17" t="inlineStr">
        <is>
          <t>X7</t>
        </is>
      </c>
      <c r="D63" s="17" t="inlineStr">
        <is>
          <t>M60i xDrive</t>
        </is>
      </c>
      <c r="E63" s="17" t="inlineStr">
        <is>
          <t>3-Row Flagship SUV</t>
        </is>
      </c>
      <c r="F63" s="17" t="inlineStr">
        <is>
          <t>Mild Hybrid</t>
        </is>
      </c>
      <c r="G63" s="18" t="n">
        <v>111900</v>
      </c>
      <c r="H63" s="19" t="n">
        <v>523</v>
      </c>
      <c r="I63" s="19" t="n">
        <v>553</v>
      </c>
      <c r="J63" s="17" t="inlineStr">
        <is>
          <t>4.4L Twin-Turbo V8</t>
        </is>
      </c>
      <c r="K63" s="20" t="n">
        <v>4.4</v>
      </c>
      <c r="L63" s="16" t="n">
        <v>8</v>
      </c>
      <c r="M63" s="17" t="inlineStr">
        <is>
          <t>8-Speed Sport Auto</t>
        </is>
      </c>
      <c r="N63" s="16" t="inlineStr">
        <is>
          <t>xDrive AWD</t>
        </is>
      </c>
      <c r="O63" s="16" t="inlineStr">
        <is>
          <t>18 (16/21)</t>
        </is>
      </c>
      <c r="P63" s="16" t="inlineStr">
        <is>
          <t>N/A</t>
        </is>
      </c>
      <c r="Q63" s="21" t="inlineStr">
        <is>
          <t>N/A</t>
        </is>
      </c>
      <c r="R63" s="16" t="n">
        <v>7</v>
      </c>
      <c r="S63" s="22" t="n">
        <v>12.8</v>
      </c>
      <c r="T63" s="19" t="n">
        <v>7500</v>
      </c>
      <c r="U63" s="28" t="inlineStr">
        <is>
          <t>9.0/10</t>
        </is>
      </c>
      <c r="V63" s="24" t="inlineStr">
        <is>
          <t xml:space="preserve"> • Superb real-world fuel economy
 • Smooth electric-gas power handover
 • No range anxiety on long trips</t>
        </is>
      </c>
      <c r="W63" s="25" t="inlineStr">
        <is>
          <t xml:space="preserve"> • Added curb weight from battery packs
 • Slightly compromised cargo space
 • eCVT engine flare during passing</t>
        </is>
      </c>
      <c r="X63" s="26" t="inlineStr">
        <is>
          <t>A finely engineered mild hybrid 3-row flagship suv striking the optimal balance between high efficiency and long-distance practicality.</t>
        </is>
      </c>
      <c r="Y63" s="27" t="inlineStr">
        <is>
          <t>https://hips.hearstapps.com/hmg-prod/images/2026-bmw-x7.jpg</t>
        </is>
      </c>
      <c r="Z63" s="27" t="inlineStr">
        <is>
          <t>https://www.caranddriver.com/bmw/x7</t>
        </is>
      </c>
      <c r="AA63" s="17" t="inlineStr">
        <is>
          <t>Car and Driver Editors' Choice</t>
        </is>
      </c>
    </row>
    <row r="64" ht="48" customHeight="1">
      <c r="A64" s="4" t="n">
        <v>2026</v>
      </c>
      <c r="B64" s="5" t="inlineStr">
        <is>
          <t>BMW</t>
        </is>
      </c>
      <c r="C64" s="5" t="inlineStr">
        <is>
          <t>iX</t>
        </is>
      </c>
      <c r="D64" s="5" t="inlineStr">
        <is>
          <t>xDrive50</t>
        </is>
      </c>
      <c r="E64" s="5" t="inlineStr">
        <is>
          <t>Luxury EV SUV</t>
        </is>
      </c>
      <c r="F64" s="5" t="inlineStr">
        <is>
          <t>Electric</t>
        </is>
      </c>
      <c r="G64" s="6" t="n">
        <v>88500</v>
      </c>
      <c r="H64" s="7" t="n">
        <v>516</v>
      </c>
      <c r="I64" s="7" t="n">
        <v>564</v>
      </c>
      <c r="J64" s="5" t="inlineStr">
        <is>
          <t>Dual Electric Motors</t>
        </is>
      </c>
      <c r="K64" s="4" t="inlineStr">
        <is>
          <t>N/A</t>
        </is>
      </c>
      <c r="L64" s="4" t="n">
        <v>0</v>
      </c>
      <c r="M64" s="5" t="inlineStr">
        <is>
          <t>1-Speed Direct</t>
        </is>
      </c>
      <c r="N64" s="4" t="inlineStr">
        <is>
          <t>AWD</t>
        </is>
      </c>
      <c r="O64" s="4" t="inlineStr">
        <is>
          <t>83 MPGe</t>
        </is>
      </c>
      <c r="P64" s="4" t="inlineStr">
        <is>
          <t>307</t>
        </is>
      </c>
      <c r="Q64" s="10" t="n">
        <v>111.5</v>
      </c>
      <c r="R64" s="4" t="n">
        <v>5</v>
      </c>
      <c r="S64" s="10" t="n">
        <v>35.5</v>
      </c>
      <c r="T64" s="7" t="n">
        <v>5500</v>
      </c>
      <c r="U64" s="11" t="inlineStr">
        <is>
          <t>9.0/10</t>
        </is>
      </c>
      <c r="V64" s="12" t="inlineStr">
        <is>
          <t xml:space="preserve"> • Silent, instantaneous acceleration
 • Low center of gravity enhances stability
 • Zero tailpipe emissions</t>
        </is>
      </c>
      <c r="W64" s="13" t="inlineStr">
        <is>
          <t xml:space="preserve"> • Highway range drops at sustained speed
 • Public charging network variability
 • Pricier initial purchase cost</t>
        </is>
      </c>
      <c r="X64" s="14" t="inlineStr">
        <is>
          <t>A compelling electric entry in the luxury ev suv segment offering smooth power delivery and advanced tech.</t>
        </is>
      </c>
      <c r="Y64" s="15" t="inlineStr">
        <is>
          <t>https://hips.hearstapps.com/hmg-prod/images/2026-bmw-ix.jpg</t>
        </is>
      </c>
      <c r="Z64" s="15" t="inlineStr">
        <is>
          <t>https://www.caranddriver.com/bmw/ix</t>
        </is>
      </c>
      <c r="AA64" s="5" t="inlineStr">
        <is>
          <t>Car and Driver 10Best</t>
        </is>
      </c>
    </row>
    <row r="65" ht="48" customHeight="1">
      <c r="A65" s="16" t="n">
        <v>2026</v>
      </c>
      <c r="B65" s="17" t="inlineStr">
        <is>
          <t>Buick</t>
        </is>
      </c>
      <c r="C65" s="17" t="inlineStr">
        <is>
          <t>Envista</t>
        </is>
      </c>
      <c r="D65" s="17" t="inlineStr">
        <is>
          <t>Avenir</t>
        </is>
      </c>
      <c r="E65" s="17" t="inlineStr">
        <is>
          <t>Subcompact Fastback</t>
        </is>
      </c>
      <c r="F65" s="17" t="inlineStr">
        <is>
          <t>Gasoline</t>
        </is>
      </c>
      <c r="G65" s="18" t="n">
        <v>30495</v>
      </c>
      <c r="H65" s="19" t="n">
        <v>137</v>
      </c>
      <c r="I65" s="19" t="n">
        <v>162</v>
      </c>
      <c r="J65" s="17" t="inlineStr">
        <is>
          <t>1.2L Turbo I3</t>
        </is>
      </c>
      <c r="K65" s="20" t="n">
        <v>1.2</v>
      </c>
      <c r="L65" s="16" t="n">
        <v>3</v>
      </c>
      <c r="M65" s="17" t="inlineStr">
        <is>
          <t>6-Speed Auto</t>
        </is>
      </c>
      <c r="N65" s="16" t="inlineStr">
        <is>
          <t>FWD</t>
        </is>
      </c>
      <c r="O65" s="16" t="inlineStr">
        <is>
          <t>30 (28/32)</t>
        </is>
      </c>
      <c r="P65" s="16" t="inlineStr">
        <is>
          <t>N/A</t>
        </is>
      </c>
      <c r="Q65" s="21" t="inlineStr">
        <is>
          <t>N/A</t>
        </is>
      </c>
      <c r="R65" s="16" t="n">
        <v>5</v>
      </c>
      <c r="S65" s="22" t="n">
        <v>20.7</v>
      </c>
      <c r="T65" s="16" t="inlineStr">
        <is>
          <t>N/A</t>
        </is>
      </c>
      <c r="U65" s="28" t="inlineStr">
        <is>
          <t>8.5/10</t>
        </is>
      </c>
      <c r="V65" s="24" t="inlineStr">
        <is>
          <t xml:space="preserve"> • Refined performance and chassis poise
 • Comfortable ergonomic cabin
 • Comprehensive safety suite</t>
        </is>
      </c>
      <c r="W65" s="25" t="inlineStr">
        <is>
          <t xml:space="preserve"> • Firm ride on optional large wheels
 • Option packages add up quickly
 • Infotainment learning curve</t>
        </is>
      </c>
      <c r="X65" s="26" t="inlineStr">
        <is>
          <t>A solid, well-rounded contender in the US subcompact fastback class with competitive dynamics.</t>
        </is>
      </c>
      <c r="Y65" s="27" t="inlineStr">
        <is>
          <t>https://hips.hearstapps.com/hmg-prod/images/2026-buick-envista.jpg</t>
        </is>
      </c>
      <c r="Z65" s="27" t="inlineStr">
        <is>
          <t>https://www.caranddriver.com/buick/envista</t>
        </is>
      </c>
      <c r="AA65" s="17" t="inlineStr">
        <is>
          <t>Car and Driver Editors' Choice</t>
        </is>
      </c>
    </row>
    <row r="66" ht="48" customHeight="1">
      <c r="A66" s="4" t="n">
        <v>2026</v>
      </c>
      <c r="B66" s="5" t="inlineStr">
        <is>
          <t>Buick</t>
        </is>
      </c>
      <c r="C66" s="5" t="inlineStr">
        <is>
          <t>Encore GX</t>
        </is>
      </c>
      <c r="D66" s="5" t="inlineStr">
        <is>
          <t>Avenir AWD</t>
        </is>
      </c>
      <c r="E66" s="5" t="inlineStr">
        <is>
          <t>Subcompact Crossover</t>
        </is>
      </c>
      <c r="F66" s="5" t="inlineStr">
        <is>
          <t>Gasoline</t>
        </is>
      </c>
      <c r="G66" s="6" t="n">
        <v>34500</v>
      </c>
      <c r="H66" s="7" t="n">
        <v>155</v>
      </c>
      <c r="I66" s="7" t="n">
        <v>174</v>
      </c>
      <c r="J66" s="5" t="inlineStr">
        <is>
          <t>1.3L Turbo I3</t>
        </is>
      </c>
      <c r="K66" s="8" t="n">
        <v>1.3</v>
      </c>
      <c r="L66" s="4" t="n">
        <v>3</v>
      </c>
      <c r="M66" s="5" t="inlineStr">
        <is>
          <t>9-Speed Auto</t>
        </is>
      </c>
      <c r="N66" s="4" t="inlineStr">
        <is>
          <t>AWD</t>
        </is>
      </c>
      <c r="O66" s="4" t="inlineStr">
        <is>
          <t>27 (26/28)</t>
        </is>
      </c>
      <c r="P66" s="4" t="inlineStr">
        <is>
          <t>N/A</t>
        </is>
      </c>
      <c r="Q66" s="9" t="inlineStr">
        <is>
          <t>N/A</t>
        </is>
      </c>
      <c r="R66" s="4" t="n">
        <v>5</v>
      </c>
      <c r="S66" s="10" t="n">
        <v>23.5</v>
      </c>
      <c r="T66" s="7" t="n">
        <v>1000</v>
      </c>
      <c r="U66" s="11" t="inlineStr">
        <is>
          <t>7.5/10</t>
        </is>
      </c>
      <c r="V66" s="12" t="inlineStr">
        <is>
          <t xml:space="preserve"> • Spacious passenger and cargo room
 • Commanding elevated driving position
 • Confidence-inspiring all-weather grip</t>
        </is>
      </c>
      <c r="W66" s="13" t="inlineStr">
        <is>
          <t xml:space="preserve"> • Higher center of gravity than sedans
 • Fuel consumption under heavy load
 • Less engaging steering feel</t>
        </is>
      </c>
      <c r="X66" s="14" t="inlineStr">
        <is>
          <t>A highly versatile subcompact crossover that delivers generous space, modern safety tech, and daily utility.</t>
        </is>
      </c>
      <c r="Y66" s="15" t="inlineStr">
        <is>
          <t>https://hips.hearstapps.com/hmg-prod/images/2026-buick-encore-gx.jpg</t>
        </is>
      </c>
      <c r="Z66" s="15" t="inlineStr">
        <is>
          <t>https://www.caranddriver.com/buick/encore-gx</t>
        </is>
      </c>
      <c r="AA66" s="5" t="inlineStr">
        <is>
          <t>Car and Driver Buyer's Guide</t>
        </is>
      </c>
    </row>
    <row r="67" ht="48" customHeight="1">
      <c r="A67" s="16" t="n">
        <v>2026</v>
      </c>
      <c r="B67" s="17" t="inlineStr">
        <is>
          <t>Buick</t>
        </is>
      </c>
      <c r="C67" s="17" t="inlineStr">
        <is>
          <t>Envision</t>
        </is>
      </c>
      <c r="D67" s="17" t="inlineStr">
        <is>
          <t>Avenir AWD</t>
        </is>
      </c>
      <c r="E67" s="17" t="inlineStr">
        <is>
          <t>Compact Premium SUV</t>
        </is>
      </c>
      <c r="F67" s="17" t="inlineStr">
        <is>
          <t>Gasoline</t>
        </is>
      </c>
      <c r="G67" s="18" t="n">
        <v>48000</v>
      </c>
      <c r="H67" s="19" t="n">
        <v>228</v>
      </c>
      <c r="I67" s="19" t="n">
        <v>258</v>
      </c>
      <c r="J67" s="17" t="inlineStr">
        <is>
          <t>2.0L Turbo I4</t>
        </is>
      </c>
      <c r="K67" s="20" t="n">
        <v>2</v>
      </c>
      <c r="L67" s="16" t="n">
        <v>4</v>
      </c>
      <c r="M67" s="17" t="inlineStr">
        <is>
          <t>9-Speed Auto</t>
        </is>
      </c>
      <c r="N67" s="16" t="inlineStr">
        <is>
          <t>AWD</t>
        </is>
      </c>
      <c r="O67" s="16" t="inlineStr">
        <is>
          <t>24 (21/28)</t>
        </is>
      </c>
      <c r="P67" s="16" t="inlineStr">
        <is>
          <t>N/A</t>
        </is>
      </c>
      <c r="Q67" s="21" t="inlineStr">
        <is>
          <t>N/A</t>
        </is>
      </c>
      <c r="R67" s="16" t="n">
        <v>5</v>
      </c>
      <c r="S67" s="22" t="n">
        <v>25.2</v>
      </c>
      <c r="T67" s="19" t="n">
        <v>1500</v>
      </c>
      <c r="U67" s="28" t="inlineStr">
        <is>
          <t>8.0/10</t>
        </is>
      </c>
      <c r="V67" s="24" t="inlineStr">
        <is>
          <t xml:space="preserve"> • Spacious passenger and cargo room
 • Commanding elevated driving position
 • Confidence-inspiring all-weather grip</t>
        </is>
      </c>
      <c r="W67" s="25" t="inlineStr">
        <is>
          <t xml:space="preserve"> • Higher center of gravity than sedans
 • Fuel consumption under heavy load
 • Less engaging steering feel</t>
        </is>
      </c>
      <c r="X67" s="26" t="inlineStr">
        <is>
          <t>A highly versatile compact premium suv that delivers generous space, modern safety tech, and daily utility.</t>
        </is>
      </c>
      <c r="Y67" s="27" t="inlineStr">
        <is>
          <t>https://hips.hearstapps.com/hmg-prod/images/2026-buick-envision.jpg</t>
        </is>
      </c>
      <c r="Z67" s="27" t="inlineStr">
        <is>
          <t>https://www.caranddriver.com/buick/envision</t>
        </is>
      </c>
      <c r="AA67" s="17" t="inlineStr">
        <is>
          <t>Car and Driver Buyer's Guide</t>
        </is>
      </c>
    </row>
    <row r="68" ht="48" customHeight="1">
      <c r="A68" s="4" t="n">
        <v>2026</v>
      </c>
      <c r="B68" s="5" t="inlineStr">
        <is>
          <t>Buick</t>
        </is>
      </c>
      <c r="C68" s="5" t="inlineStr">
        <is>
          <t>Enclave</t>
        </is>
      </c>
      <c r="D68" s="5" t="inlineStr">
        <is>
          <t>Avenir AWD</t>
        </is>
      </c>
      <c r="E68" s="5" t="inlineStr">
        <is>
          <t>3-Row Premium SUV</t>
        </is>
      </c>
      <c r="F68" s="5" t="inlineStr">
        <is>
          <t>Gasoline</t>
        </is>
      </c>
      <c r="G68" s="6" t="n">
        <v>59395</v>
      </c>
      <c r="H68" s="7" t="n">
        <v>328</v>
      </c>
      <c r="I68" s="7" t="n">
        <v>326</v>
      </c>
      <c r="J68" s="5" t="inlineStr">
        <is>
          <t>2.5L Turbo I4</t>
        </is>
      </c>
      <c r="K68" s="8" t="n">
        <v>2.5</v>
      </c>
      <c r="L68" s="4" t="n">
        <v>4</v>
      </c>
      <c r="M68" s="5" t="inlineStr">
        <is>
          <t>8-Speed Auto</t>
        </is>
      </c>
      <c r="N68" s="4" t="inlineStr">
        <is>
          <t>AWD</t>
        </is>
      </c>
      <c r="O68" s="4" t="inlineStr">
        <is>
          <t>21 (19/24)</t>
        </is>
      </c>
      <c r="P68" s="4" t="inlineStr">
        <is>
          <t>N/A</t>
        </is>
      </c>
      <c r="Q68" s="9" t="inlineStr">
        <is>
          <t>N/A</t>
        </is>
      </c>
      <c r="R68" s="4" t="n">
        <v>7</v>
      </c>
      <c r="S68" s="10" t="n">
        <v>22.9</v>
      </c>
      <c r="T68" s="7" t="n">
        <v>5000</v>
      </c>
      <c r="U68" s="11" t="inlineStr">
        <is>
          <t>8.0/10</t>
        </is>
      </c>
      <c r="V68" s="12" t="inlineStr">
        <is>
          <t xml:space="preserve"> • Spacious passenger and cargo room
 • Commanding elevated driving position
 • Confidence-inspiring all-weather grip</t>
        </is>
      </c>
      <c r="W68" s="13" t="inlineStr">
        <is>
          <t xml:space="preserve"> • Higher center of gravity than sedans
 • Fuel consumption under heavy load
 • Less engaging steering feel</t>
        </is>
      </c>
      <c r="X68" s="14" t="inlineStr">
        <is>
          <t>A highly versatile 3-row premium suv that delivers generous space, modern safety tech, and daily utility.</t>
        </is>
      </c>
      <c r="Y68" s="15" t="inlineStr">
        <is>
          <t>https://hips.hearstapps.com/hmg-prod/images/2026-buick-enclave.jpg</t>
        </is>
      </c>
      <c r="Z68" s="15" t="inlineStr">
        <is>
          <t>https://www.caranddriver.com/buick/enclave</t>
        </is>
      </c>
      <c r="AA68" s="5" t="inlineStr">
        <is>
          <t>Car and Driver Buyer's Guide</t>
        </is>
      </c>
    </row>
    <row r="69" ht="48" customHeight="1">
      <c r="A69" s="16" t="n">
        <v>2026</v>
      </c>
      <c r="B69" s="17" t="inlineStr">
        <is>
          <t>Cadillac</t>
        </is>
      </c>
      <c r="C69" s="17" t="inlineStr">
        <is>
          <t>CT4</t>
        </is>
      </c>
      <c r="D69" s="17" t="inlineStr">
        <is>
          <t>Premium Luxury AWD</t>
        </is>
      </c>
      <c r="E69" s="17" t="inlineStr">
        <is>
          <t>Compact Luxury Sedan</t>
        </is>
      </c>
      <c r="F69" s="17" t="inlineStr">
        <is>
          <t>Gasoline</t>
        </is>
      </c>
      <c r="G69" s="18" t="n">
        <v>43000</v>
      </c>
      <c r="H69" s="19" t="n">
        <v>310</v>
      </c>
      <c r="I69" s="19" t="n">
        <v>350</v>
      </c>
      <c r="J69" s="17" t="inlineStr">
        <is>
          <t>2.7L Turbo Dual-Volute I4</t>
        </is>
      </c>
      <c r="K69" s="20" t="n">
        <v>2.7</v>
      </c>
      <c r="L69" s="16" t="n">
        <v>4</v>
      </c>
      <c r="M69" s="17" t="inlineStr">
        <is>
          <t>10-Speed Auto</t>
        </is>
      </c>
      <c r="N69" s="16" t="inlineStr">
        <is>
          <t>AWD</t>
        </is>
      </c>
      <c r="O69" s="16" t="inlineStr">
        <is>
          <t>25 (22/31)</t>
        </is>
      </c>
      <c r="P69" s="16" t="inlineStr">
        <is>
          <t>N/A</t>
        </is>
      </c>
      <c r="Q69" s="21" t="inlineStr">
        <is>
          <t>N/A</t>
        </is>
      </c>
      <c r="R69" s="16" t="n">
        <v>5</v>
      </c>
      <c r="S69" s="22" t="n">
        <v>10.7</v>
      </c>
      <c r="T69" s="16" t="inlineStr">
        <is>
          <t>N/A</t>
        </is>
      </c>
      <c r="U69" s="28" t="inlineStr">
        <is>
          <t>8.0/10</t>
        </is>
      </c>
      <c r="V69" s="24" t="inlineStr">
        <is>
          <t xml:space="preserve"> • Sharper handling dynamics than taller SUVs
 • Superior highway fuel economy
 • Easy maneuvering in urban spaces</t>
        </is>
      </c>
      <c r="W69" s="25" t="inlineStr">
        <is>
          <t xml:space="preserve"> • Less cargo flexibility than crossovers
 • Lower seating hip point for ingress
 • Fewer AWD options</t>
        </is>
      </c>
      <c r="X69" s="26" t="inlineStr">
        <is>
          <t>A well-proportioned compact luxury sedan offering superior driving manners and efficiency over conventional crossovers.</t>
        </is>
      </c>
      <c r="Y69" s="27" t="inlineStr">
        <is>
          <t>https://hips.hearstapps.com/hmg-prod/images/2026-cadillac-ct4.jpg</t>
        </is>
      </c>
      <c r="Z69" s="27" t="inlineStr">
        <is>
          <t>https://www.caranddriver.com/cadillac/ct4</t>
        </is>
      </c>
      <c r="AA69" s="17" t="inlineStr">
        <is>
          <t>Car and Driver Buyer's Guide</t>
        </is>
      </c>
    </row>
    <row r="70" ht="48" customHeight="1">
      <c r="A70" s="4" t="n">
        <v>2026</v>
      </c>
      <c r="B70" s="5" t="inlineStr">
        <is>
          <t>Cadillac</t>
        </is>
      </c>
      <c r="C70" s="5" t="inlineStr">
        <is>
          <t>CT4-V Blackwing</t>
        </is>
      </c>
      <c r="D70" s="5" t="inlineStr">
        <is>
          <t>Base 6MT</t>
        </is>
      </c>
      <c r="E70" s="5" t="inlineStr">
        <is>
          <t>High-Perf Sport Sedan</t>
        </is>
      </c>
      <c r="F70" s="5" t="inlineStr">
        <is>
          <t>Gasoline</t>
        </is>
      </c>
      <c r="G70" s="6" t="n">
        <v>63590</v>
      </c>
      <c r="H70" s="7" t="n">
        <v>472</v>
      </c>
      <c r="I70" s="7" t="n">
        <v>445</v>
      </c>
      <c r="J70" s="5" t="inlineStr">
        <is>
          <t>3.6L Twin-Turbo V6</t>
        </is>
      </c>
      <c r="K70" s="8" t="n">
        <v>3.6</v>
      </c>
      <c r="L70" s="4" t="n">
        <v>6</v>
      </c>
      <c r="M70" s="5" t="inlineStr">
        <is>
          <t>6-Speed Manual</t>
        </is>
      </c>
      <c r="N70" s="4" t="inlineStr">
        <is>
          <t>RWD</t>
        </is>
      </c>
      <c r="O70" s="4" t="inlineStr">
        <is>
          <t>18 (15/23)</t>
        </is>
      </c>
      <c r="P70" s="4" t="inlineStr">
        <is>
          <t>N/A</t>
        </is>
      </c>
      <c r="Q70" s="9" t="inlineStr">
        <is>
          <t>N/A</t>
        </is>
      </c>
      <c r="R70" s="4" t="n">
        <v>5</v>
      </c>
      <c r="S70" s="10" t="n">
        <v>10.7</v>
      </c>
      <c r="T70" s="4" t="inlineStr">
        <is>
          <t>N/A</t>
        </is>
      </c>
      <c r="U70" s="29" t="inlineStr">
        <is>
          <t>10/10</t>
        </is>
      </c>
      <c r="V70" s="12" t="inlineStr">
        <is>
          <t xml:space="preserve"> • Sharper handling dynamics than taller SUVs
 • Superior highway fuel economy
 • Easy maneuvering in urban spaces</t>
        </is>
      </c>
      <c r="W70" s="13" t="inlineStr">
        <is>
          <t xml:space="preserve"> • Less cargo flexibility than crossovers
 • Lower seating hip point for ingress
 • Fewer AWD options</t>
        </is>
      </c>
      <c r="X70" s="14" t="inlineStr">
        <is>
          <t>A well-proportioned high-perf sport sedan offering superior driving manners and efficiency over conventional crossovers.</t>
        </is>
      </c>
      <c r="Y70" s="15" t="inlineStr">
        <is>
          <t>https://hips.hearstapps.com/hmg-prod/images/2026-cadillac-ct4-v-blackwing.jpg</t>
        </is>
      </c>
      <c r="Z70" s="15" t="inlineStr">
        <is>
          <t>https://www.caranddriver.com/cadillac/ct4-v-blackwing</t>
        </is>
      </c>
      <c r="AA70" s="5" t="inlineStr">
        <is>
          <t>Car and Driver 10Best Winner</t>
        </is>
      </c>
    </row>
    <row r="71" ht="48" customHeight="1">
      <c r="A71" s="16" t="n">
        <v>2026</v>
      </c>
      <c r="B71" s="17" t="inlineStr">
        <is>
          <t>Cadillac</t>
        </is>
      </c>
      <c r="C71" s="17" t="inlineStr">
        <is>
          <t>CT5</t>
        </is>
      </c>
      <c r="D71" s="17" t="inlineStr">
        <is>
          <t>Sport AWD</t>
        </is>
      </c>
      <c r="E71" s="17" t="inlineStr">
        <is>
          <t>Mid-Size Luxury Sedan</t>
        </is>
      </c>
      <c r="F71" s="17" t="inlineStr">
        <is>
          <t>Gasoline</t>
        </is>
      </c>
      <c r="G71" s="18" t="n">
        <v>49000</v>
      </c>
      <c r="H71" s="19" t="n">
        <v>335</v>
      </c>
      <c r="I71" s="19" t="n">
        <v>405</v>
      </c>
      <c r="J71" s="17" t="inlineStr">
        <is>
          <t>3.0L Twin-Turbo V6</t>
        </is>
      </c>
      <c r="K71" s="20" t="n">
        <v>3</v>
      </c>
      <c r="L71" s="16" t="n">
        <v>6</v>
      </c>
      <c r="M71" s="17" t="inlineStr">
        <is>
          <t>10-Speed Auto</t>
        </is>
      </c>
      <c r="N71" s="16" t="inlineStr">
        <is>
          <t>AWD</t>
        </is>
      </c>
      <c r="O71" s="16" t="inlineStr">
        <is>
          <t>21 (18/26)</t>
        </is>
      </c>
      <c r="P71" s="16" t="inlineStr">
        <is>
          <t>N/A</t>
        </is>
      </c>
      <c r="Q71" s="21" t="inlineStr">
        <is>
          <t>N/A</t>
        </is>
      </c>
      <c r="R71" s="16" t="n">
        <v>5</v>
      </c>
      <c r="S71" s="22" t="n">
        <v>11.9</v>
      </c>
      <c r="T71" s="16" t="inlineStr">
        <is>
          <t>N/A</t>
        </is>
      </c>
      <c r="U71" s="28" t="inlineStr">
        <is>
          <t>8.5/10</t>
        </is>
      </c>
      <c r="V71" s="24" t="inlineStr">
        <is>
          <t xml:space="preserve"> • Sharper handling dynamics than taller SUVs
 • Superior highway fuel economy
 • Easy maneuvering in urban spaces</t>
        </is>
      </c>
      <c r="W71" s="25" t="inlineStr">
        <is>
          <t xml:space="preserve"> • Less cargo flexibility than crossovers
 • Lower seating hip point for ingress
 • Fewer AWD options</t>
        </is>
      </c>
      <c r="X71" s="26" t="inlineStr">
        <is>
          <t>A well-proportioned mid-size luxury sedan offering superior driving manners and efficiency over conventional crossovers.</t>
        </is>
      </c>
      <c r="Y71" s="27" t="inlineStr">
        <is>
          <t>https://hips.hearstapps.com/hmg-prod/images/2026-cadillac-ct5.jpg</t>
        </is>
      </c>
      <c r="Z71" s="27" t="inlineStr">
        <is>
          <t>https://www.caranddriver.com/cadillac/ct5</t>
        </is>
      </c>
      <c r="AA71" s="17" t="inlineStr">
        <is>
          <t>Car and Driver Buyer's Guide</t>
        </is>
      </c>
    </row>
    <row r="72" ht="48" customHeight="1">
      <c r="A72" s="4" t="n">
        <v>2026</v>
      </c>
      <c r="B72" s="5" t="inlineStr">
        <is>
          <t>Cadillac</t>
        </is>
      </c>
      <c r="C72" s="5" t="inlineStr">
        <is>
          <t>CT5-V Blackwing</t>
        </is>
      </c>
      <c r="D72" s="5" t="inlineStr">
        <is>
          <t>Base 6MT</t>
        </is>
      </c>
      <c r="E72" s="5" t="inlineStr">
        <is>
          <t>Super Performance Sedan</t>
        </is>
      </c>
      <c r="F72" s="5" t="inlineStr">
        <is>
          <t>Gasoline</t>
        </is>
      </c>
      <c r="G72" s="6" t="n">
        <v>96990</v>
      </c>
      <c r="H72" s="7" t="n">
        <v>668</v>
      </c>
      <c r="I72" s="7" t="n">
        <v>659</v>
      </c>
      <c r="J72" s="5" t="inlineStr">
        <is>
          <t>6.2L Supercharged LT4 V8</t>
        </is>
      </c>
      <c r="K72" s="8" t="n">
        <v>6.2</v>
      </c>
      <c r="L72" s="4" t="n">
        <v>8</v>
      </c>
      <c r="M72" s="5" t="inlineStr">
        <is>
          <t>6-Speed Manual</t>
        </is>
      </c>
      <c r="N72" s="4" t="inlineStr">
        <is>
          <t>RWD</t>
        </is>
      </c>
      <c r="O72" s="4" t="inlineStr">
        <is>
          <t>15 (13/21)</t>
        </is>
      </c>
      <c r="P72" s="4" t="inlineStr">
        <is>
          <t>N/A</t>
        </is>
      </c>
      <c r="Q72" s="9" t="inlineStr">
        <is>
          <t>N/A</t>
        </is>
      </c>
      <c r="R72" s="4" t="n">
        <v>5</v>
      </c>
      <c r="S72" s="10" t="n">
        <v>11.9</v>
      </c>
      <c r="T72" s="4" t="inlineStr">
        <is>
          <t>N/A</t>
        </is>
      </c>
      <c r="U72" s="29" t="inlineStr">
        <is>
          <t>10/10</t>
        </is>
      </c>
      <c r="V72" s="12" t="inlineStr">
        <is>
          <t xml:space="preserve"> • Sharper handling dynamics than taller SUVs
 • Superior highway fuel economy
 • Easy maneuvering in urban spaces</t>
        </is>
      </c>
      <c r="W72" s="13" t="inlineStr">
        <is>
          <t xml:space="preserve"> • Less cargo flexibility than crossovers
 • Lower seating hip point for ingress
 • Fewer AWD options</t>
        </is>
      </c>
      <c r="X72" s="14" t="inlineStr">
        <is>
          <t>A well-proportioned super performance sedan offering superior driving manners and efficiency over conventional crossovers.</t>
        </is>
      </c>
      <c r="Y72" s="15" t="inlineStr">
        <is>
          <t>https://hips.hearstapps.com/hmg-prod/images/2026-cadillac-ct5-v-blackwing.jpg</t>
        </is>
      </c>
      <c r="Z72" s="15" t="inlineStr">
        <is>
          <t>https://www.caranddriver.com/cadillac/ct5-v-blackwing</t>
        </is>
      </c>
      <c r="AA72" s="5" t="inlineStr">
        <is>
          <t>Car and Driver 10Best Winner</t>
        </is>
      </c>
    </row>
    <row r="73" ht="48" customHeight="1">
      <c r="A73" s="16" t="n">
        <v>2026</v>
      </c>
      <c r="B73" s="17" t="inlineStr">
        <is>
          <t>Cadillac</t>
        </is>
      </c>
      <c r="C73" s="17" t="inlineStr">
        <is>
          <t>Optiq</t>
        </is>
      </c>
      <c r="D73" s="17" t="inlineStr">
        <is>
          <t>Sport 1 AWD</t>
        </is>
      </c>
      <c r="E73" s="17" t="inlineStr">
        <is>
          <t>Compact Luxury EV SUV</t>
        </is>
      </c>
      <c r="F73" s="17" t="inlineStr">
        <is>
          <t>Electric</t>
        </is>
      </c>
      <c r="G73" s="18" t="n">
        <v>54390</v>
      </c>
      <c r="H73" s="19" t="n">
        <v>300</v>
      </c>
      <c r="I73" s="19" t="n">
        <v>354</v>
      </c>
      <c r="J73" s="17" t="inlineStr">
        <is>
          <t>Dual Ultium Electric Motors</t>
        </is>
      </c>
      <c r="K73" s="16" t="inlineStr">
        <is>
          <t>N/A</t>
        </is>
      </c>
      <c r="L73" s="16" t="n">
        <v>0</v>
      </c>
      <c r="M73" s="17" t="inlineStr">
        <is>
          <t>1-Speed Direct</t>
        </is>
      </c>
      <c r="N73" s="16" t="inlineStr">
        <is>
          <t>eAWD</t>
        </is>
      </c>
      <c r="O73" s="16" t="inlineStr">
        <is>
          <t>94 MPGe</t>
        </is>
      </c>
      <c r="P73" s="16" t="inlineStr">
        <is>
          <t>302</t>
        </is>
      </c>
      <c r="Q73" s="22" t="n">
        <v>85</v>
      </c>
      <c r="R73" s="16" t="n">
        <v>5</v>
      </c>
      <c r="S73" s="22" t="n">
        <v>26</v>
      </c>
      <c r="T73" s="19" t="n">
        <v>1500</v>
      </c>
      <c r="U73" s="28" t="inlineStr">
        <is>
          <t>8.5/10</t>
        </is>
      </c>
      <c r="V73" s="24" t="inlineStr">
        <is>
          <t xml:space="preserve"> • Silent, instantaneous acceleration
 • Low center of gravity enhances stability
 • Zero tailpipe emissions</t>
        </is>
      </c>
      <c r="W73" s="25" t="inlineStr">
        <is>
          <t xml:space="preserve"> • Highway range drops at sustained speed
 • Public charging network variability
 • Pricier initial purchase cost</t>
        </is>
      </c>
      <c r="X73" s="26" t="inlineStr">
        <is>
          <t>A compelling electric entry in the compact luxury ev suv segment offering smooth power delivery and advanced tech.</t>
        </is>
      </c>
      <c r="Y73" s="27" t="inlineStr">
        <is>
          <t>https://hips.hearstapps.com/hmg-prod/images/2026-cadillac-optiq.jpg</t>
        </is>
      </c>
      <c r="Z73" s="27" t="inlineStr">
        <is>
          <t>https://www.caranddriver.com/cadillac/optiq</t>
        </is>
      </c>
      <c r="AA73" s="17" t="inlineStr">
        <is>
          <t>Car and Driver First Drive</t>
        </is>
      </c>
    </row>
    <row r="74" ht="48" customHeight="1">
      <c r="A74" s="4" t="n">
        <v>2026</v>
      </c>
      <c r="B74" s="5" t="inlineStr">
        <is>
          <t>Cadillac</t>
        </is>
      </c>
      <c r="C74" s="5" t="inlineStr">
        <is>
          <t>Lyriq</t>
        </is>
      </c>
      <c r="D74" s="5" t="inlineStr">
        <is>
          <t>Sport Dual-Motor AWD</t>
        </is>
      </c>
      <c r="E74" s="5" t="inlineStr">
        <is>
          <t>Mid-Size Luxury EV SUV</t>
        </is>
      </c>
      <c r="F74" s="5" t="inlineStr">
        <is>
          <t>Electric</t>
        </is>
      </c>
      <c r="G74" s="6" t="n">
        <v>63690</v>
      </c>
      <c r="H74" s="7" t="n">
        <v>500</v>
      </c>
      <c r="I74" s="7" t="n">
        <v>450</v>
      </c>
      <c r="J74" s="5" t="inlineStr">
        <is>
          <t>Dual Ultium Electric Motors</t>
        </is>
      </c>
      <c r="K74" s="4" t="inlineStr">
        <is>
          <t>N/A</t>
        </is>
      </c>
      <c r="L74" s="4" t="n">
        <v>0</v>
      </c>
      <c r="M74" s="5" t="inlineStr">
        <is>
          <t>1-Speed Direct</t>
        </is>
      </c>
      <c r="N74" s="4" t="inlineStr">
        <is>
          <t>AWD</t>
        </is>
      </c>
      <c r="O74" s="4" t="inlineStr">
        <is>
          <t>89 MPGe</t>
        </is>
      </c>
      <c r="P74" s="4" t="inlineStr">
        <is>
          <t>303</t>
        </is>
      </c>
      <c r="Q74" s="10" t="n">
        <v>102</v>
      </c>
      <c r="R74" s="4" t="n">
        <v>5</v>
      </c>
      <c r="S74" s="10" t="n">
        <v>28</v>
      </c>
      <c r="T74" s="7" t="n">
        <v>3500</v>
      </c>
      <c r="U74" s="11" t="inlineStr">
        <is>
          <t>8.5/10</t>
        </is>
      </c>
      <c r="V74" s="12" t="inlineStr">
        <is>
          <t xml:space="preserve"> • Silent, instantaneous acceleration
 • Low center of gravity enhances stability
 • Zero tailpipe emissions</t>
        </is>
      </c>
      <c r="W74" s="13" t="inlineStr">
        <is>
          <t xml:space="preserve"> • Highway range drops at sustained speed
 • Public charging network variability
 • Pricier initial purchase cost</t>
        </is>
      </c>
      <c r="X74" s="14" t="inlineStr">
        <is>
          <t>A compelling electric entry in the mid-size luxury ev suv segment offering smooth power delivery and advanced tech.</t>
        </is>
      </c>
      <c r="Y74" s="15" t="inlineStr">
        <is>
          <t>https://hips.hearstapps.com/hmg-prod/images/2026-cadillac-lyriq.jpg</t>
        </is>
      </c>
      <c r="Z74" s="15" t="inlineStr">
        <is>
          <t>https://www.caranddriver.com/cadillac/lyriq</t>
        </is>
      </c>
      <c r="AA74" s="5" t="inlineStr">
        <is>
          <t>Car and Driver Buyer's Guide</t>
        </is>
      </c>
    </row>
    <row r="75" ht="48" customHeight="1">
      <c r="A75" s="16" t="n">
        <v>2026</v>
      </c>
      <c r="B75" s="17" t="inlineStr">
        <is>
          <t>Cadillac</t>
        </is>
      </c>
      <c r="C75" s="17" t="inlineStr">
        <is>
          <t>Vistiq</t>
        </is>
      </c>
      <c r="D75" s="17" t="inlineStr">
        <is>
          <t>Luxury AWD</t>
        </is>
      </c>
      <c r="E75" s="17" t="inlineStr">
        <is>
          <t>3-Row Luxury EV SUV</t>
        </is>
      </c>
      <c r="F75" s="17" t="inlineStr">
        <is>
          <t>Electric</t>
        </is>
      </c>
      <c r="G75" s="18" t="n">
        <v>78790</v>
      </c>
      <c r="H75" s="19" t="n">
        <v>615</v>
      </c>
      <c r="I75" s="19" t="n">
        <v>650</v>
      </c>
      <c r="J75" s="17" t="inlineStr">
        <is>
          <t>Dual Permanent Magnet Motors</t>
        </is>
      </c>
      <c r="K75" s="16" t="inlineStr">
        <is>
          <t>N/A</t>
        </is>
      </c>
      <c r="L75" s="16" t="n">
        <v>0</v>
      </c>
      <c r="M75" s="17" t="inlineStr">
        <is>
          <t>1-Speed Direct</t>
        </is>
      </c>
      <c r="N75" s="16" t="inlineStr">
        <is>
          <t>eAWD</t>
        </is>
      </c>
      <c r="O75" s="16" t="inlineStr">
        <is>
          <t>78 MPGe</t>
        </is>
      </c>
      <c r="P75" s="16" t="inlineStr">
        <is>
          <t>300</t>
        </is>
      </c>
      <c r="Q75" s="22" t="n">
        <v>102</v>
      </c>
      <c r="R75" s="16" t="n">
        <v>7</v>
      </c>
      <c r="S75" s="22" t="n">
        <v>15.2</v>
      </c>
      <c r="T75" s="19" t="n">
        <v>5000</v>
      </c>
      <c r="U75" s="28" t="inlineStr">
        <is>
          <t>9.0/10</t>
        </is>
      </c>
      <c r="V75" s="24" t="inlineStr">
        <is>
          <t xml:space="preserve"> • Silent, instantaneous acceleration
 • Low center of gravity enhances stability
 • Zero tailpipe emissions</t>
        </is>
      </c>
      <c r="W75" s="25" t="inlineStr">
        <is>
          <t xml:space="preserve"> • Highway range drops at sustained speed
 • Public charging network variability
 • Pricier initial purchase cost</t>
        </is>
      </c>
      <c r="X75" s="26" t="inlineStr">
        <is>
          <t>A compelling electric entry in the 3-row luxury ev suv segment offering smooth power delivery and advanced tech.</t>
        </is>
      </c>
      <c r="Y75" s="27" t="inlineStr">
        <is>
          <t>https://hips.hearstapps.com/hmg-prod/images/2026-cadillac-vistiq.jpg</t>
        </is>
      </c>
      <c r="Z75" s="27" t="inlineStr">
        <is>
          <t>https://www.caranddriver.com/cadillac/vistiq</t>
        </is>
      </c>
      <c r="AA75" s="17" t="inlineStr">
        <is>
          <t>Car and Driver Buyer's Guide</t>
        </is>
      </c>
    </row>
    <row r="76" ht="48" customHeight="1">
      <c r="A76" s="4" t="n">
        <v>2026</v>
      </c>
      <c r="B76" s="5" t="inlineStr">
        <is>
          <t>Cadillac</t>
        </is>
      </c>
      <c r="C76" s="5" t="inlineStr">
        <is>
          <t>Escalade</t>
        </is>
      </c>
      <c r="D76" s="5" t="inlineStr">
        <is>
          <t>V-Series 4WD</t>
        </is>
      </c>
      <c r="E76" s="5" t="inlineStr">
        <is>
          <t>Full-Size Performance SUV</t>
        </is>
      </c>
      <c r="F76" s="5" t="inlineStr">
        <is>
          <t>Gasoline</t>
        </is>
      </c>
      <c r="G76" s="6" t="n">
        <v>154290</v>
      </c>
      <c r="H76" s="7" t="n">
        <v>682</v>
      </c>
      <c r="I76" s="7" t="n">
        <v>653</v>
      </c>
      <c r="J76" s="5" t="inlineStr">
        <is>
          <t>6.2L Supercharged V8</t>
        </is>
      </c>
      <c r="K76" s="8" t="n">
        <v>6.2</v>
      </c>
      <c r="L76" s="4" t="n">
        <v>8</v>
      </c>
      <c r="M76" s="5" t="inlineStr">
        <is>
          <t>10-Speed Auto</t>
        </is>
      </c>
      <c r="N76" s="4" t="inlineStr">
        <is>
          <t>AWD</t>
        </is>
      </c>
      <c r="O76" s="4" t="inlineStr">
        <is>
          <t>13 (11/16)</t>
        </is>
      </c>
      <c r="P76" s="4" t="inlineStr">
        <is>
          <t>N/A</t>
        </is>
      </c>
      <c r="Q76" s="9" t="inlineStr">
        <is>
          <t>N/A</t>
        </is>
      </c>
      <c r="R76" s="4" t="n">
        <v>7</v>
      </c>
      <c r="S76" s="10" t="n">
        <v>25.5</v>
      </c>
      <c r="T76" s="7" t="n">
        <v>7000</v>
      </c>
      <c r="U76" s="11" t="inlineStr">
        <is>
          <t>9.0/10</t>
        </is>
      </c>
      <c r="V76" s="12" t="inlineStr">
        <is>
          <t xml:space="preserve"> • Spacious passenger and cargo room
 • Commanding elevated driving position
 • Confidence-inspiring all-weather grip</t>
        </is>
      </c>
      <c r="W76" s="13" t="inlineStr">
        <is>
          <t xml:space="preserve"> • Higher center of gravity than sedans
 • Fuel consumption under heavy load
 • Less engaging steering feel</t>
        </is>
      </c>
      <c r="X76" s="14" t="inlineStr">
        <is>
          <t>A highly versatile full-size performance suv that delivers generous space, modern safety tech, and daily utility.</t>
        </is>
      </c>
      <c r="Y76" s="15" t="inlineStr">
        <is>
          <t>https://hips.hearstapps.com/hmg-prod/images/2026-cadillac-escalade.jpg</t>
        </is>
      </c>
      <c r="Z76" s="15" t="inlineStr">
        <is>
          <t>https://www.caranddriver.com/cadillac/escalade</t>
        </is>
      </c>
      <c r="AA76" s="5" t="inlineStr">
        <is>
          <t>Car and Driver Editors' Choice</t>
        </is>
      </c>
    </row>
    <row r="77" ht="48" customHeight="1">
      <c r="A77" s="16" t="n">
        <v>2026</v>
      </c>
      <c r="B77" s="17" t="inlineStr">
        <is>
          <t>Cadillac</t>
        </is>
      </c>
      <c r="C77" s="17" t="inlineStr">
        <is>
          <t>Escalade IQ</t>
        </is>
      </c>
      <c r="D77" s="17" t="inlineStr">
        <is>
          <t>Luxury 1 AWD</t>
        </is>
      </c>
      <c r="E77" s="17" t="inlineStr">
        <is>
          <t>Full-Size Ultra EV SUV</t>
        </is>
      </c>
      <c r="F77" s="17" t="inlineStr">
        <is>
          <t>Electric</t>
        </is>
      </c>
      <c r="G77" s="18" t="n">
        <v>129990</v>
      </c>
      <c r="H77" s="19" t="n">
        <v>750</v>
      </c>
      <c r="I77" s="19" t="n">
        <v>785</v>
      </c>
      <c r="J77" s="17" t="inlineStr">
        <is>
          <t>Dual Ultium Electric Motors</t>
        </is>
      </c>
      <c r="K77" s="16" t="inlineStr">
        <is>
          <t>N/A</t>
        </is>
      </c>
      <c r="L77" s="16" t="n">
        <v>0</v>
      </c>
      <c r="M77" s="17" t="inlineStr">
        <is>
          <t>1-Speed Direct</t>
        </is>
      </c>
      <c r="N77" s="16" t="inlineStr">
        <is>
          <t>eAWD</t>
        </is>
      </c>
      <c r="O77" s="16" t="inlineStr">
        <is>
          <t>59 MPGe</t>
        </is>
      </c>
      <c r="P77" s="16" t="inlineStr">
        <is>
          <t>460</t>
        </is>
      </c>
      <c r="Q77" s="22" t="n">
        <v>215</v>
      </c>
      <c r="R77" s="16" t="n">
        <v>7</v>
      </c>
      <c r="S77" s="22" t="n">
        <v>23.7</v>
      </c>
      <c r="T77" s="19" t="n">
        <v>8000</v>
      </c>
      <c r="U77" s="28" t="inlineStr">
        <is>
          <t>9.0/10</t>
        </is>
      </c>
      <c r="V77" s="24" t="inlineStr">
        <is>
          <t xml:space="preserve"> • Silent, instantaneous acceleration
 • Low center of gravity enhances stability
 • Zero tailpipe emissions</t>
        </is>
      </c>
      <c r="W77" s="25" t="inlineStr">
        <is>
          <t xml:space="preserve"> • Highway range drops at sustained speed
 • Public charging network variability
 • Pricier initial purchase cost</t>
        </is>
      </c>
      <c r="X77" s="26" t="inlineStr">
        <is>
          <t>A compelling electric entry in the full-size ultra ev suv segment offering smooth power delivery and advanced tech.</t>
        </is>
      </c>
      <c r="Y77" s="27" t="inlineStr">
        <is>
          <t>https://hips.hearstapps.com/hmg-prod/images/2026-cadillac-escalade-iq.jpg</t>
        </is>
      </c>
      <c r="Z77" s="27" t="inlineStr">
        <is>
          <t>https://www.caranddriver.com/cadillac/escalade-iq</t>
        </is>
      </c>
      <c r="AA77" s="17" t="inlineStr">
        <is>
          <t>Car and Driver Buyer's Guide</t>
        </is>
      </c>
    </row>
    <row r="78" ht="48" customHeight="1">
      <c r="A78" s="4" t="n">
        <v>2026</v>
      </c>
      <c r="B78" s="5" t="inlineStr">
        <is>
          <t>Cadillac</t>
        </is>
      </c>
      <c r="C78" s="5" t="inlineStr">
        <is>
          <t>Celestiq</t>
        </is>
      </c>
      <c r="D78" s="5" t="inlineStr">
        <is>
          <t>Bespoke EV</t>
        </is>
      </c>
      <c r="E78" s="5" t="inlineStr">
        <is>
          <t>Ultra-Luxury Flagship Sedan</t>
        </is>
      </c>
      <c r="F78" s="5" t="inlineStr">
        <is>
          <t>Electric</t>
        </is>
      </c>
      <c r="G78" s="6" t="n">
        <v>340000</v>
      </c>
      <c r="H78" s="7" t="n">
        <v>600</v>
      </c>
      <c r="I78" s="7" t="n">
        <v>640</v>
      </c>
      <c r="J78" s="5" t="inlineStr">
        <is>
          <t>Dual Ultium Motors</t>
        </is>
      </c>
      <c r="K78" s="4" t="inlineStr">
        <is>
          <t>N/A</t>
        </is>
      </c>
      <c r="L78" s="4" t="n">
        <v>0</v>
      </c>
      <c r="M78" s="5" t="inlineStr">
        <is>
          <t>1-Speed Direct</t>
        </is>
      </c>
      <c r="N78" s="4" t="inlineStr">
        <is>
          <t>AWD</t>
        </is>
      </c>
      <c r="O78" s="4" t="inlineStr">
        <is>
          <t>80 MPGe (Est)</t>
        </is>
      </c>
      <c r="P78" s="4" t="inlineStr">
        <is>
          <t>300</t>
        </is>
      </c>
      <c r="Q78" s="10" t="n">
        <v>111</v>
      </c>
      <c r="R78" s="4" t="n">
        <v>4</v>
      </c>
      <c r="S78" s="10" t="n">
        <v>18</v>
      </c>
      <c r="T78" s="4" t="inlineStr">
        <is>
          <t>N/A</t>
        </is>
      </c>
      <c r="U78" s="29" t="inlineStr">
        <is>
          <t>9.5/10</t>
        </is>
      </c>
      <c r="V78" s="12" t="inlineStr">
        <is>
          <t xml:space="preserve"> • Silent, instantaneous acceleration
 • Low center of gravity enhances stability
 • Zero tailpipe emissions</t>
        </is>
      </c>
      <c r="W78" s="13" t="inlineStr">
        <is>
          <t xml:space="preserve"> • Highway range drops at sustained speed
 • Public charging network variability
 • Pricier initial purchase cost</t>
        </is>
      </c>
      <c r="X78" s="14" t="inlineStr">
        <is>
          <t>A compelling electric entry in the ultra-luxury flagship sedan segment offering smooth power delivery and advanced tech.</t>
        </is>
      </c>
      <c r="Y78" s="15" t="inlineStr">
        <is>
          <t>https://hips.hearstapps.com/hmg-prod/images/2026-cadillac-celestiq.jpg</t>
        </is>
      </c>
      <c r="Z78" s="15" t="inlineStr">
        <is>
          <t>https://www.caranddriver.com/cadillac/celestiq</t>
        </is>
      </c>
      <c r="AA78" s="5" t="inlineStr">
        <is>
          <t>Car and Driver First Look</t>
        </is>
      </c>
    </row>
    <row r="79" ht="48" customHeight="1">
      <c r="A79" s="16" t="n">
        <v>2026</v>
      </c>
      <c r="B79" s="17" t="inlineStr">
        <is>
          <t>Chevrolet</t>
        </is>
      </c>
      <c r="C79" s="17" t="inlineStr">
        <is>
          <t>Trax</t>
        </is>
      </c>
      <c r="D79" s="17" t="inlineStr">
        <is>
          <t>ACTIV FWD</t>
        </is>
      </c>
      <c r="E79" s="17" t="inlineStr">
        <is>
          <t>Subcompact Crossover</t>
        </is>
      </c>
      <c r="F79" s="17" t="inlineStr">
        <is>
          <t>Gasoline</t>
        </is>
      </c>
      <c r="G79" s="18" t="n">
        <v>25395</v>
      </c>
      <c r="H79" s="19" t="n">
        <v>137</v>
      </c>
      <c r="I79" s="19" t="n">
        <v>162</v>
      </c>
      <c r="J79" s="17" t="inlineStr">
        <is>
          <t>1.2L Turbo I3</t>
        </is>
      </c>
      <c r="K79" s="20" t="n">
        <v>1.2</v>
      </c>
      <c r="L79" s="16" t="n">
        <v>3</v>
      </c>
      <c r="M79" s="17" t="inlineStr">
        <is>
          <t>6-Speed Auto</t>
        </is>
      </c>
      <c r="N79" s="16" t="inlineStr">
        <is>
          <t>FWD</t>
        </is>
      </c>
      <c r="O79" s="16" t="inlineStr">
        <is>
          <t>30 (28/32)</t>
        </is>
      </c>
      <c r="P79" s="16" t="inlineStr">
        <is>
          <t>N/A</t>
        </is>
      </c>
      <c r="Q79" s="21" t="inlineStr">
        <is>
          <t>N/A</t>
        </is>
      </c>
      <c r="R79" s="16" t="n">
        <v>5</v>
      </c>
      <c r="S79" s="22" t="n">
        <v>25.6</v>
      </c>
      <c r="T79" s="16" t="inlineStr">
        <is>
          <t>N/A</t>
        </is>
      </c>
      <c r="U79" s="23" t="inlineStr">
        <is>
          <t>10/10</t>
        </is>
      </c>
      <c r="V79" s="24" t="inlineStr">
        <is>
          <t xml:space="preserve"> • Spacious passenger and cargo room
 • Commanding elevated driving position
 • Confidence-inspiring all-weather grip</t>
        </is>
      </c>
      <c r="W79" s="25" t="inlineStr">
        <is>
          <t xml:space="preserve"> • Higher center of gravity than sedans
 • Fuel consumption under heavy load
 • Less engaging steering feel</t>
        </is>
      </c>
      <c r="X79" s="26" t="inlineStr">
        <is>
          <t>A highly versatile subcompact crossover that delivers generous space, modern safety tech, and daily utility.</t>
        </is>
      </c>
      <c r="Y79" s="27" t="inlineStr">
        <is>
          <t>https://hips.hearstapps.com/hmg-prod/images/2026-chevrolet-trax.jpg</t>
        </is>
      </c>
      <c r="Z79" s="27" t="inlineStr">
        <is>
          <t>https://www.caranddriver.com/chevrolet/trax</t>
        </is>
      </c>
      <c r="AA79" s="17" t="inlineStr">
        <is>
          <t>Car and Driver 10Best Winner</t>
        </is>
      </c>
    </row>
    <row r="80" ht="48" customHeight="1">
      <c r="A80" s="4" t="n">
        <v>2026</v>
      </c>
      <c r="B80" s="5" t="inlineStr">
        <is>
          <t>Chevrolet</t>
        </is>
      </c>
      <c r="C80" s="5" t="inlineStr">
        <is>
          <t>Trailblazer</t>
        </is>
      </c>
      <c r="D80" s="5" t="inlineStr">
        <is>
          <t>RS AWD</t>
        </is>
      </c>
      <c r="E80" s="5" t="inlineStr">
        <is>
          <t>Subcompact Crossover</t>
        </is>
      </c>
      <c r="F80" s="5" t="inlineStr">
        <is>
          <t>Gasoline</t>
        </is>
      </c>
      <c r="G80" s="6" t="n">
        <v>31000</v>
      </c>
      <c r="H80" s="7" t="n">
        <v>155</v>
      </c>
      <c r="I80" s="7" t="n">
        <v>174</v>
      </c>
      <c r="J80" s="5" t="inlineStr">
        <is>
          <t>1.3L Turbo I3</t>
        </is>
      </c>
      <c r="K80" s="8" t="n">
        <v>1.3</v>
      </c>
      <c r="L80" s="4" t="n">
        <v>3</v>
      </c>
      <c r="M80" s="5" t="inlineStr">
        <is>
          <t>9-Speed Auto</t>
        </is>
      </c>
      <c r="N80" s="4" t="inlineStr">
        <is>
          <t>AWD</t>
        </is>
      </c>
      <c r="O80" s="4" t="inlineStr">
        <is>
          <t>27 (26/29)</t>
        </is>
      </c>
      <c r="P80" s="4" t="inlineStr">
        <is>
          <t>N/A</t>
        </is>
      </c>
      <c r="Q80" s="9" t="inlineStr">
        <is>
          <t>N/A</t>
        </is>
      </c>
      <c r="R80" s="4" t="n">
        <v>5</v>
      </c>
      <c r="S80" s="10" t="n">
        <v>25.3</v>
      </c>
      <c r="T80" s="7" t="n">
        <v>1000</v>
      </c>
      <c r="U80" s="11" t="inlineStr">
        <is>
          <t>7.5/10</t>
        </is>
      </c>
      <c r="V80" s="12" t="inlineStr">
        <is>
          <t xml:space="preserve"> • Spacious passenger and cargo room
 • Commanding elevated driving position
 • Confidence-inspiring all-weather grip</t>
        </is>
      </c>
      <c r="W80" s="13" t="inlineStr">
        <is>
          <t xml:space="preserve"> • Higher center of gravity than sedans
 • Fuel consumption under heavy load
 • Less engaging steering feel</t>
        </is>
      </c>
      <c r="X80" s="14" t="inlineStr">
        <is>
          <t>A highly versatile subcompact crossover that delivers generous space, modern safety tech, and daily utility.</t>
        </is>
      </c>
      <c r="Y80" s="15" t="inlineStr">
        <is>
          <t>https://hips.hearstapps.com/hmg-prod/images/2026-chevrolet-trailblazer.jpg</t>
        </is>
      </c>
      <c r="Z80" s="15" t="inlineStr">
        <is>
          <t>https://www.caranddriver.com/chevrolet/trailblazer</t>
        </is>
      </c>
      <c r="AA80" s="5" t="inlineStr">
        <is>
          <t>Car and Driver Buyer's Guide</t>
        </is>
      </c>
    </row>
    <row r="81" ht="48" customHeight="1">
      <c r="A81" s="16" t="n">
        <v>2026</v>
      </c>
      <c r="B81" s="17" t="inlineStr">
        <is>
          <t>Chevrolet</t>
        </is>
      </c>
      <c r="C81" s="17" t="inlineStr">
        <is>
          <t>Equinox</t>
        </is>
      </c>
      <c r="D81" s="17" t="inlineStr">
        <is>
          <t>ACTIV AWD</t>
        </is>
      </c>
      <c r="E81" s="17" t="inlineStr">
        <is>
          <t>Compact Crossover</t>
        </is>
      </c>
      <c r="F81" s="17" t="inlineStr">
        <is>
          <t>Gasoline</t>
        </is>
      </c>
      <c r="G81" s="18" t="n">
        <v>35000</v>
      </c>
      <c r="H81" s="19" t="n">
        <v>175</v>
      </c>
      <c r="I81" s="19" t="n">
        <v>203</v>
      </c>
      <c r="J81" s="17" t="inlineStr">
        <is>
          <t>1.5L Turbo I4</t>
        </is>
      </c>
      <c r="K81" s="20" t="n">
        <v>1.5</v>
      </c>
      <c r="L81" s="16" t="n">
        <v>4</v>
      </c>
      <c r="M81" s="17" t="inlineStr">
        <is>
          <t>8-Speed Auto</t>
        </is>
      </c>
      <c r="N81" s="16" t="inlineStr">
        <is>
          <t>AWD</t>
        </is>
      </c>
      <c r="O81" s="16" t="inlineStr">
        <is>
          <t>26 (24/29)</t>
        </is>
      </c>
      <c r="P81" s="16" t="inlineStr">
        <is>
          <t>N/A</t>
        </is>
      </c>
      <c r="Q81" s="21" t="inlineStr">
        <is>
          <t>N/A</t>
        </is>
      </c>
      <c r="R81" s="16" t="n">
        <v>5</v>
      </c>
      <c r="S81" s="22" t="n">
        <v>29.8</v>
      </c>
      <c r="T81" s="19" t="n">
        <v>1500</v>
      </c>
      <c r="U81" s="28" t="inlineStr">
        <is>
          <t>8.0/10</t>
        </is>
      </c>
      <c r="V81" s="24" t="inlineStr">
        <is>
          <t xml:space="preserve"> • Spacious passenger and cargo room
 • Commanding elevated driving position
 • Confidence-inspiring all-weather grip</t>
        </is>
      </c>
      <c r="W81" s="25" t="inlineStr">
        <is>
          <t xml:space="preserve"> • Higher center of gravity than sedans
 • Fuel consumption under heavy load
 • Less engaging steering feel</t>
        </is>
      </c>
      <c r="X81" s="26" t="inlineStr">
        <is>
          <t>A highly versatile compact crossover that delivers generous space, modern safety tech, and daily utility.</t>
        </is>
      </c>
      <c r="Y81" s="27" t="inlineStr">
        <is>
          <t>https://hips.hearstapps.com/hmg-prod/images/2026-chevrolet-equinox.jpg</t>
        </is>
      </c>
      <c r="Z81" s="27" t="inlineStr">
        <is>
          <t>https://www.caranddriver.com/chevrolet/equinox</t>
        </is>
      </c>
      <c r="AA81" s="17" t="inlineStr">
        <is>
          <t>Car and Driver Buyer's Guide</t>
        </is>
      </c>
    </row>
    <row r="82" ht="48" customHeight="1">
      <c r="A82" s="4" t="n">
        <v>2026</v>
      </c>
      <c r="B82" s="5" t="inlineStr">
        <is>
          <t>Chevrolet</t>
        </is>
      </c>
      <c r="C82" s="5" t="inlineStr">
        <is>
          <t>Equinox EV</t>
        </is>
      </c>
      <c r="D82" s="5" t="inlineStr">
        <is>
          <t>LT AWD</t>
        </is>
      </c>
      <c r="E82" s="5" t="inlineStr">
        <is>
          <t>Compact Electric SUV</t>
        </is>
      </c>
      <c r="F82" s="5" t="inlineStr">
        <is>
          <t>Electric</t>
        </is>
      </c>
      <c r="G82" s="6" t="n">
        <v>36295</v>
      </c>
      <c r="H82" s="7" t="n">
        <v>288</v>
      </c>
      <c r="I82" s="7" t="n">
        <v>333</v>
      </c>
      <c r="J82" s="5" t="inlineStr">
        <is>
          <t>Dual Ultium Motors</t>
        </is>
      </c>
      <c r="K82" s="4" t="inlineStr">
        <is>
          <t>N/A</t>
        </is>
      </c>
      <c r="L82" s="4" t="n">
        <v>0</v>
      </c>
      <c r="M82" s="5" t="inlineStr">
        <is>
          <t>1-Speed Direct</t>
        </is>
      </c>
      <c r="N82" s="4" t="inlineStr">
        <is>
          <t>eAWD</t>
        </is>
      </c>
      <c r="O82" s="4" t="inlineStr">
        <is>
          <t>96 MPGe</t>
        </is>
      </c>
      <c r="P82" s="4" t="inlineStr">
        <is>
          <t>285</t>
        </is>
      </c>
      <c r="Q82" s="10" t="n">
        <v>85</v>
      </c>
      <c r="R82" s="4" t="n">
        <v>5</v>
      </c>
      <c r="S82" s="10" t="n">
        <v>26.4</v>
      </c>
      <c r="T82" s="7" t="n">
        <v>1500</v>
      </c>
      <c r="U82" s="11" t="inlineStr">
        <is>
          <t>9.0/10</t>
        </is>
      </c>
      <c r="V82" s="12" t="inlineStr">
        <is>
          <t xml:space="preserve"> • Silent, instantaneous acceleration
 • Low center of gravity enhances stability
 • Zero tailpipe emissions</t>
        </is>
      </c>
      <c r="W82" s="13" t="inlineStr">
        <is>
          <t xml:space="preserve"> • Highway range drops at sustained speed
 • Public charging network variability
 • Pricier initial purchase cost</t>
        </is>
      </c>
      <c r="X82" s="14" t="inlineStr">
        <is>
          <t>A compelling electric entry in the compact electric suv segment offering smooth power delivery and advanced tech.</t>
        </is>
      </c>
      <c r="Y82" s="15" t="inlineStr">
        <is>
          <t>https://hips.hearstapps.com/hmg-prod/images/2026-chevrolet-equinox-ev.jpg</t>
        </is>
      </c>
      <c r="Z82" s="15" t="inlineStr">
        <is>
          <t>https://www.caranddriver.com/chevrolet/equinox-ev</t>
        </is>
      </c>
      <c r="AA82" s="5" t="inlineStr">
        <is>
          <t>Car and Driver Buyer's Guide</t>
        </is>
      </c>
    </row>
    <row r="83" ht="48" customHeight="1">
      <c r="A83" s="16" t="n">
        <v>2026</v>
      </c>
      <c r="B83" s="17" t="inlineStr">
        <is>
          <t>Chevrolet</t>
        </is>
      </c>
      <c r="C83" s="17" t="inlineStr">
        <is>
          <t>Blazer</t>
        </is>
      </c>
      <c r="D83" s="17" t="inlineStr">
        <is>
          <t>RS AWD</t>
        </is>
      </c>
      <c r="E83" s="17" t="inlineStr">
        <is>
          <t>Mid-Size Crossover</t>
        </is>
      </c>
      <c r="F83" s="17" t="inlineStr">
        <is>
          <t>Gasoline</t>
        </is>
      </c>
      <c r="G83" s="18" t="n">
        <v>46000</v>
      </c>
      <c r="H83" s="19" t="n">
        <v>308</v>
      </c>
      <c r="I83" s="19" t="n">
        <v>270</v>
      </c>
      <c r="J83" s="17" t="inlineStr">
        <is>
          <t>3.6L V6</t>
        </is>
      </c>
      <c r="K83" s="20" t="n">
        <v>3.6</v>
      </c>
      <c r="L83" s="16" t="n">
        <v>6</v>
      </c>
      <c r="M83" s="17" t="inlineStr">
        <is>
          <t>9-Speed Auto</t>
        </is>
      </c>
      <c r="N83" s="16" t="inlineStr">
        <is>
          <t>AWD</t>
        </is>
      </c>
      <c r="O83" s="16" t="inlineStr">
        <is>
          <t>21 (19/26)</t>
        </is>
      </c>
      <c r="P83" s="16" t="inlineStr">
        <is>
          <t>N/A</t>
        </is>
      </c>
      <c r="Q83" s="21" t="inlineStr">
        <is>
          <t>N/A</t>
        </is>
      </c>
      <c r="R83" s="16" t="n">
        <v>5</v>
      </c>
      <c r="S83" s="22" t="n">
        <v>30.5</v>
      </c>
      <c r="T83" s="19" t="n">
        <v>4500</v>
      </c>
      <c r="U83" s="28" t="inlineStr">
        <is>
          <t>7.5/10</t>
        </is>
      </c>
      <c r="V83" s="24" t="inlineStr">
        <is>
          <t xml:space="preserve"> • Spacious passenger and cargo room
 • Commanding elevated driving position
 • Confidence-inspiring all-weather grip</t>
        </is>
      </c>
      <c r="W83" s="25" t="inlineStr">
        <is>
          <t xml:space="preserve"> • Higher center of gravity than sedans
 • Fuel consumption under heavy load
 • Less engaging steering feel</t>
        </is>
      </c>
      <c r="X83" s="26" t="inlineStr">
        <is>
          <t>A highly versatile mid-size crossover that delivers generous space, modern safety tech, and daily utility.</t>
        </is>
      </c>
      <c r="Y83" s="27" t="inlineStr">
        <is>
          <t>https://hips.hearstapps.com/hmg-prod/images/2026-chevrolet-blazer.jpg</t>
        </is>
      </c>
      <c r="Z83" s="27" t="inlineStr">
        <is>
          <t>https://www.caranddriver.com/chevrolet/blazer</t>
        </is>
      </c>
      <c r="AA83" s="17" t="inlineStr">
        <is>
          <t>Car and Driver Buyer's Guide</t>
        </is>
      </c>
    </row>
    <row r="84" ht="48" customHeight="1">
      <c r="A84" s="4" t="n">
        <v>2026</v>
      </c>
      <c r="B84" s="5" t="inlineStr">
        <is>
          <t>Chevrolet</t>
        </is>
      </c>
      <c r="C84" s="5" t="inlineStr">
        <is>
          <t>Blazer EV</t>
        </is>
      </c>
      <c r="D84" s="5" t="inlineStr">
        <is>
          <t>SS AWD</t>
        </is>
      </c>
      <c r="E84" s="5" t="inlineStr">
        <is>
          <t>Performance EV SUV</t>
        </is>
      </c>
      <c r="F84" s="5" t="inlineStr">
        <is>
          <t>Electric</t>
        </is>
      </c>
      <c r="G84" s="6" t="n">
        <v>66000</v>
      </c>
      <c r="H84" s="7" t="n">
        <v>557</v>
      </c>
      <c r="I84" s="7" t="n">
        <v>648</v>
      </c>
      <c r="J84" s="5" t="inlineStr">
        <is>
          <t>Dual Ultium Motors</t>
        </is>
      </c>
      <c r="K84" s="4" t="inlineStr">
        <is>
          <t>N/A</t>
        </is>
      </c>
      <c r="L84" s="4" t="n">
        <v>0</v>
      </c>
      <c r="M84" s="5" t="inlineStr">
        <is>
          <t>1-Speed Direct</t>
        </is>
      </c>
      <c r="N84" s="4" t="inlineStr">
        <is>
          <t>AWD</t>
        </is>
      </c>
      <c r="O84" s="4" t="inlineStr">
        <is>
          <t>88 MPGe</t>
        </is>
      </c>
      <c r="P84" s="4" t="inlineStr">
        <is>
          <t>290</t>
        </is>
      </c>
      <c r="Q84" s="10" t="n">
        <v>85</v>
      </c>
      <c r="R84" s="4" t="n">
        <v>5</v>
      </c>
      <c r="S84" s="10" t="n">
        <v>25.5</v>
      </c>
      <c r="T84" s="7" t="n">
        <v>1500</v>
      </c>
      <c r="U84" s="11" t="inlineStr">
        <is>
          <t>8.5/10</t>
        </is>
      </c>
      <c r="V84" s="12" t="inlineStr">
        <is>
          <t xml:space="preserve"> • Silent, instantaneous acceleration
 • Low center of gravity enhances stability
 • Zero tailpipe emissions</t>
        </is>
      </c>
      <c r="W84" s="13" t="inlineStr">
        <is>
          <t xml:space="preserve"> • Highway range drops at sustained speed
 • Public charging network variability
 • Pricier initial purchase cost</t>
        </is>
      </c>
      <c r="X84" s="14" t="inlineStr">
        <is>
          <t>A compelling electric entry in the performance ev suv segment offering smooth power delivery and advanced tech.</t>
        </is>
      </c>
      <c r="Y84" s="15" t="inlineStr">
        <is>
          <t>https://hips.hearstapps.com/hmg-prod/images/2026-chevrolet-blazer-ev.jpg</t>
        </is>
      </c>
      <c r="Z84" s="15" t="inlineStr">
        <is>
          <t>https://www.caranddriver.com/chevrolet/blazer-ev</t>
        </is>
      </c>
      <c r="AA84" s="5" t="inlineStr">
        <is>
          <t>Car and Driver Tested</t>
        </is>
      </c>
    </row>
    <row r="85" ht="48" customHeight="1">
      <c r="A85" s="16" t="n">
        <v>2026</v>
      </c>
      <c r="B85" s="17" t="inlineStr">
        <is>
          <t>Chevrolet</t>
        </is>
      </c>
      <c r="C85" s="17" t="inlineStr">
        <is>
          <t>Traverse</t>
        </is>
      </c>
      <c r="D85" s="17" t="inlineStr">
        <is>
          <t>Z71 AWD</t>
        </is>
      </c>
      <c r="E85" s="17" t="inlineStr">
        <is>
          <t>3-Row Mid-Size SUV</t>
        </is>
      </c>
      <c r="F85" s="17" t="inlineStr">
        <is>
          <t>Gasoline</t>
        </is>
      </c>
      <c r="G85" s="18" t="n">
        <v>48000</v>
      </c>
      <c r="H85" s="19" t="n">
        <v>328</v>
      </c>
      <c r="I85" s="19" t="n">
        <v>326</v>
      </c>
      <c r="J85" s="17" t="inlineStr">
        <is>
          <t>2.5L Turbo I4</t>
        </is>
      </c>
      <c r="K85" s="20" t="n">
        <v>2.5</v>
      </c>
      <c r="L85" s="16" t="n">
        <v>4</v>
      </c>
      <c r="M85" s="17" t="inlineStr">
        <is>
          <t>8-Speed Auto</t>
        </is>
      </c>
      <c r="N85" s="16" t="inlineStr">
        <is>
          <t>Twin-Clutch AWD</t>
        </is>
      </c>
      <c r="O85" s="16" t="inlineStr">
        <is>
          <t>21 (19/24)</t>
        </is>
      </c>
      <c r="P85" s="16" t="inlineStr">
        <is>
          <t>N/A</t>
        </is>
      </c>
      <c r="Q85" s="21" t="inlineStr">
        <is>
          <t>N/A</t>
        </is>
      </c>
      <c r="R85" s="16" t="n">
        <v>8</v>
      </c>
      <c r="S85" s="22" t="n">
        <v>22.9</v>
      </c>
      <c r="T85" s="19" t="n">
        <v>5000</v>
      </c>
      <c r="U85" s="28" t="inlineStr">
        <is>
          <t>8.5/10</t>
        </is>
      </c>
      <c r="V85" s="24" t="inlineStr">
        <is>
          <t xml:space="preserve"> • Spacious passenger and cargo room
 • Commanding elevated driving position
 • Confidence-inspiring all-weather grip</t>
        </is>
      </c>
      <c r="W85" s="25" t="inlineStr">
        <is>
          <t xml:space="preserve"> • Higher center of gravity than sedans
 • Fuel consumption under heavy load
 • Less engaging steering feel</t>
        </is>
      </c>
      <c r="X85" s="26" t="inlineStr">
        <is>
          <t>A highly versatile 3-row mid-size suv that delivers generous space, modern safety tech, and daily utility.</t>
        </is>
      </c>
      <c r="Y85" s="27" t="inlineStr">
        <is>
          <t>https://hips.hearstapps.com/hmg-prod/images/2026-chevrolet-traverse.jpg</t>
        </is>
      </c>
      <c r="Z85" s="27" t="inlineStr">
        <is>
          <t>https://www.caranddriver.com/chevrolet/traverse</t>
        </is>
      </c>
      <c r="AA85" s="17" t="inlineStr">
        <is>
          <t>Car and Driver Buyer's Guide</t>
        </is>
      </c>
    </row>
    <row r="86" ht="48" customHeight="1">
      <c r="A86" s="4" t="n">
        <v>2026</v>
      </c>
      <c r="B86" s="5" t="inlineStr">
        <is>
          <t>Chevrolet</t>
        </is>
      </c>
      <c r="C86" s="5" t="inlineStr">
        <is>
          <t>Tahoe</t>
        </is>
      </c>
      <c r="D86" s="5" t="inlineStr">
        <is>
          <t>High Country 4WD</t>
        </is>
      </c>
      <c r="E86" s="5" t="inlineStr">
        <is>
          <t>Full-Size 3-Row SUV</t>
        </is>
      </c>
      <c r="F86" s="5" t="inlineStr">
        <is>
          <t>Gasoline</t>
        </is>
      </c>
      <c r="G86" s="6" t="n">
        <v>80195</v>
      </c>
      <c r="H86" s="7" t="n">
        <v>420</v>
      </c>
      <c r="I86" s="7" t="n">
        <v>460</v>
      </c>
      <c r="J86" s="5" t="inlineStr">
        <is>
          <t>6.2L EcoTec3 V8</t>
        </is>
      </c>
      <c r="K86" s="8" t="n">
        <v>6.2</v>
      </c>
      <c r="L86" s="4" t="n">
        <v>8</v>
      </c>
      <c r="M86" s="5" t="inlineStr">
        <is>
          <t>10-Speed Auto</t>
        </is>
      </c>
      <c r="N86" s="4" t="inlineStr">
        <is>
          <t>4WD</t>
        </is>
      </c>
      <c r="O86" s="4" t="inlineStr">
        <is>
          <t>16 (14/18)</t>
        </is>
      </c>
      <c r="P86" s="4" t="inlineStr">
        <is>
          <t>N/A</t>
        </is>
      </c>
      <c r="Q86" s="9" t="inlineStr">
        <is>
          <t>N/A</t>
        </is>
      </c>
      <c r="R86" s="4" t="n">
        <v>8</v>
      </c>
      <c r="S86" s="10" t="n">
        <v>25.5</v>
      </c>
      <c r="T86" s="7" t="n">
        <v>8300</v>
      </c>
      <c r="U86" s="29" t="inlineStr">
        <is>
          <t>10/10</t>
        </is>
      </c>
      <c r="V86" s="12" t="inlineStr">
        <is>
          <t xml:space="preserve"> • Spacious passenger and cargo room
 • Commanding elevated driving position
 • Confidence-inspiring all-weather grip</t>
        </is>
      </c>
      <c r="W86" s="13" t="inlineStr">
        <is>
          <t xml:space="preserve"> • Higher center of gravity than sedans
 • Fuel consumption under heavy load
 • Less engaging steering feel</t>
        </is>
      </c>
      <c r="X86" s="14" t="inlineStr">
        <is>
          <t>A highly versatile full-size 3-row suv that delivers generous space, modern safety tech, and daily utility.</t>
        </is>
      </c>
      <c r="Y86" s="15" t="inlineStr">
        <is>
          <t>https://hips.hearstapps.com/hmg-prod/images/2026-chevrolet-tahoe.jpg</t>
        </is>
      </c>
      <c r="Z86" s="15" t="inlineStr">
        <is>
          <t>https://www.caranddriver.com/chevrolet/tahoe</t>
        </is>
      </c>
      <c r="AA86" s="5" t="inlineStr">
        <is>
          <t>Car and Driver 10Best Winner</t>
        </is>
      </c>
    </row>
    <row r="87" ht="48" customHeight="1">
      <c r="A87" s="16" t="n">
        <v>2026</v>
      </c>
      <c r="B87" s="17" t="inlineStr">
        <is>
          <t>Chevrolet</t>
        </is>
      </c>
      <c r="C87" s="17" t="inlineStr">
        <is>
          <t>Suburban</t>
        </is>
      </c>
      <c r="D87" s="17" t="inlineStr">
        <is>
          <t>High Country 4WD</t>
        </is>
      </c>
      <c r="E87" s="17" t="inlineStr">
        <is>
          <t>Extended Full-Size SUV</t>
        </is>
      </c>
      <c r="F87" s="17" t="inlineStr">
        <is>
          <t>Gasoline</t>
        </is>
      </c>
      <c r="G87" s="18" t="n">
        <v>83195</v>
      </c>
      <c r="H87" s="19" t="n">
        <v>420</v>
      </c>
      <c r="I87" s="19" t="n">
        <v>460</v>
      </c>
      <c r="J87" s="17" t="inlineStr">
        <is>
          <t>6.2L EcoTec3 V8</t>
        </is>
      </c>
      <c r="K87" s="20" t="n">
        <v>6.2</v>
      </c>
      <c r="L87" s="16" t="n">
        <v>8</v>
      </c>
      <c r="M87" s="17" t="inlineStr">
        <is>
          <t>10-Speed Auto</t>
        </is>
      </c>
      <c r="N87" s="16" t="inlineStr">
        <is>
          <t>4WD</t>
        </is>
      </c>
      <c r="O87" s="16" t="inlineStr">
        <is>
          <t>16 (14/18)</t>
        </is>
      </c>
      <c r="P87" s="16" t="inlineStr">
        <is>
          <t>N/A</t>
        </is>
      </c>
      <c r="Q87" s="21" t="inlineStr">
        <is>
          <t>N/A</t>
        </is>
      </c>
      <c r="R87" s="16" t="n">
        <v>8</v>
      </c>
      <c r="S87" s="22" t="n">
        <v>41.5</v>
      </c>
      <c r="T87" s="19" t="n">
        <v>8200</v>
      </c>
      <c r="U87" s="23" t="inlineStr">
        <is>
          <t>10/10</t>
        </is>
      </c>
      <c r="V87" s="24" t="inlineStr">
        <is>
          <t xml:space="preserve"> • Spacious passenger and cargo room
 • Commanding elevated driving position
 • Confidence-inspiring all-weather grip</t>
        </is>
      </c>
      <c r="W87" s="25" t="inlineStr">
        <is>
          <t xml:space="preserve"> • Higher center of gravity than sedans
 • Fuel consumption under heavy load
 • Less engaging steering feel</t>
        </is>
      </c>
      <c r="X87" s="26" t="inlineStr">
        <is>
          <t>A highly versatile extended full-size suv that delivers generous space, modern safety tech, and daily utility.</t>
        </is>
      </c>
      <c r="Y87" s="27" t="inlineStr">
        <is>
          <t>https://hips.hearstapps.com/hmg-prod/images/2026-chevrolet-suburban.jpg</t>
        </is>
      </c>
      <c r="Z87" s="27" t="inlineStr">
        <is>
          <t>https://www.caranddriver.com/chevrolet/suburban</t>
        </is>
      </c>
      <c r="AA87" s="17" t="inlineStr">
        <is>
          <t>Car and Driver 10Best Winner</t>
        </is>
      </c>
    </row>
    <row r="88" ht="48" customHeight="1">
      <c r="A88" s="4" t="n">
        <v>2026</v>
      </c>
      <c r="B88" s="5" t="inlineStr">
        <is>
          <t>Chevrolet</t>
        </is>
      </c>
      <c r="C88" s="5" t="inlineStr">
        <is>
          <t>Colorado</t>
        </is>
      </c>
      <c r="D88" s="5" t="inlineStr">
        <is>
          <t>ZR2 Crew Cab</t>
        </is>
      </c>
      <c r="E88" s="5" t="inlineStr">
        <is>
          <t>Mid-Size Off-Road Truck</t>
        </is>
      </c>
      <c r="F88" s="5" t="inlineStr">
        <is>
          <t>Gasoline</t>
        </is>
      </c>
      <c r="G88" s="6" t="n">
        <v>49800</v>
      </c>
      <c r="H88" s="7" t="n">
        <v>310</v>
      </c>
      <c r="I88" s="7" t="n">
        <v>430</v>
      </c>
      <c r="J88" s="5" t="inlineStr">
        <is>
          <t>2.7L TurboMax High-Output I4</t>
        </is>
      </c>
      <c r="K88" s="8" t="n">
        <v>2.7</v>
      </c>
      <c r="L88" s="4" t="n">
        <v>4</v>
      </c>
      <c r="M88" s="5" t="inlineStr">
        <is>
          <t>8-Speed Auto</t>
        </is>
      </c>
      <c r="N88" s="4" t="inlineStr">
        <is>
          <t>4WD</t>
        </is>
      </c>
      <c r="O88" s="4" t="inlineStr">
        <is>
          <t>18 (17/19)</t>
        </is>
      </c>
      <c r="P88" s="4" t="inlineStr">
        <is>
          <t>N/A</t>
        </is>
      </c>
      <c r="Q88" s="9" t="inlineStr">
        <is>
          <t>N/A</t>
        </is>
      </c>
      <c r="R88" s="4" t="n">
        <v>5</v>
      </c>
      <c r="S88" s="10" t="n">
        <v>41.9</v>
      </c>
      <c r="T88" s="7" t="n">
        <v>6000</v>
      </c>
      <c r="U88" s="29" t="inlineStr">
        <is>
          <t>9.5/10</t>
        </is>
      </c>
      <c r="V88" s="12" t="inlineStr">
        <is>
          <t xml:space="preserve"> • Robust payload and towing capabilities
 • Durable bed and tailgate features
 • High ground clearance</t>
        </is>
      </c>
      <c r="W88" s="13" t="inlineStr">
        <is>
          <t xml:space="preserve"> • Stiffer unladen ride quality
 • Challenging to park in urban garages
 • Higher fuel costs</t>
        </is>
      </c>
      <c r="X88" s="14" t="inlineStr">
        <is>
          <t>A capable and rugged mid-size off-road truck designed for serious work duty, hauling, and outdoor recreation.</t>
        </is>
      </c>
      <c r="Y88" s="15" t="inlineStr">
        <is>
          <t>https://hips.hearstapps.com/hmg-prod/images/2026-chevrolet-colorado.jpg</t>
        </is>
      </c>
      <c r="Z88" s="15" t="inlineStr">
        <is>
          <t>https://www.caranddriver.com/chevrolet/colorado</t>
        </is>
      </c>
      <c r="AA88" s="5" t="inlineStr">
        <is>
          <t>Car and Driver Editors' Choice</t>
        </is>
      </c>
    </row>
    <row r="89" ht="48" customHeight="1">
      <c r="A89" s="16" t="n">
        <v>2026</v>
      </c>
      <c r="B89" s="17" t="inlineStr">
        <is>
          <t>Chevrolet</t>
        </is>
      </c>
      <c r="C89" s="17" t="inlineStr">
        <is>
          <t>Silverado 1500</t>
        </is>
      </c>
      <c r="D89" s="17" t="inlineStr">
        <is>
          <t>LT Trail Boss Crew Cab</t>
        </is>
      </c>
      <c r="E89" s="17" t="inlineStr">
        <is>
          <t>Full-Size Pickup</t>
        </is>
      </c>
      <c r="F89" s="17" t="inlineStr">
        <is>
          <t>Gasoline</t>
        </is>
      </c>
      <c r="G89" s="18" t="n">
        <v>60195</v>
      </c>
      <c r="H89" s="19" t="n">
        <v>420</v>
      </c>
      <c r="I89" s="19" t="n">
        <v>460</v>
      </c>
      <c r="J89" s="17" t="inlineStr">
        <is>
          <t>6.2L EcoTec3 V8</t>
        </is>
      </c>
      <c r="K89" s="20" t="n">
        <v>6.2</v>
      </c>
      <c r="L89" s="16" t="n">
        <v>8</v>
      </c>
      <c r="M89" s="17" t="inlineStr">
        <is>
          <t>10-Speed Auto</t>
        </is>
      </c>
      <c r="N89" s="16" t="inlineStr">
        <is>
          <t>4WD</t>
        </is>
      </c>
      <c r="O89" s="16" t="inlineStr">
        <is>
          <t>16 (14/18)</t>
        </is>
      </c>
      <c r="P89" s="16" t="inlineStr">
        <is>
          <t>N/A</t>
        </is>
      </c>
      <c r="Q89" s="21" t="inlineStr">
        <is>
          <t>N/A</t>
        </is>
      </c>
      <c r="R89" s="16" t="n">
        <v>5</v>
      </c>
      <c r="S89" s="22" t="n">
        <v>62.9</v>
      </c>
      <c r="T89" s="19" t="n">
        <v>13300</v>
      </c>
      <c r="U89" s="28" t="inlineStr">
        <is>
          <t>8.5/10</t>
        </is>
      </c>
      <c r="V89" s="24" t="inlineStr">
        <is>
          <t xml:space="preserve"> • Class-leading towing and hauling brawn
 • Palatial crew cab seating and storage
 • Intuitive cabin switchgear</t>
        </is>
      </c>
      <c r="W89" s="25" t="inlineStr">
        <is>
          <t xml:space="preserve"> • Large exterior dimensions in tight parking
 • Thirsty when loaded
 • Top trims push into luxury car pricing</t>
        </is>
      </c>
      <c r="X89" s="26" t="inlineStr">
        <is>
          <t>The backbone of American transportation, offering effortless hauling capability and luxury cabin appointments.</t>
        </is>
      </c>
      <c r="Y89" s="27" t="inlineStr">
        <is>
          <t>https://hips.hearstapps.com/hmg-prod/images/2026-chevrolet-silverado-1500.jpg</t>
        </is>
      </c>
      <c r="Z89" s="27" t="inlineStr">
        <is>
          <t>https://www.caranddriver.com/chevrolet/silverado-1500</t>
        </is>
      </c>
      <c r="AA89" s="17" t="inlineStr">
        <is>
          <t>Car and Driver Buyer's Guide</t>
        </is>
      </c>
    </row>
    <row r="90" ht="48" customHeight="1">
      <c r="A90" s="4" t="n">
        <v>2026</v>
      </c>
      <c r="B90" s="5" t="inlineStr">
        <is>
          <t>Chevrolet</t>
        </is>
      </c>
      <c r="C90" s="5" t="inlineStr">
        <is>
          <t>Silverado EV</t>
        </is>
      </c>
      <c r="D90" s="5" t="inlineStr">
        <is>
          <t>RST First Edition</t>
        </is>
      </c>
      <c r="E90" s="5" t="inlineStr">
        <is>
          <t>Full-Size EV Truck</t>
        </is>
      </c>
      <c r="F90" s="5" t="inlineStr">
        <is>
          <t>Electric</t>
        </is>
      </c>
      <c r="G90" s="6" t="n">
        <v>96495</v>
      </c>
      <c r="H90" s="7" t="n">
        <v>754</v>
      </c>
      <c r="I90" s="7" t="n">
        <v>785</v>
      </c>
      <c r="J90" s="5" t="inlineStr">
        <is>
          <t>Dual Ultium Electric Motors</t>
        </is>
      </c>
      <c r="K90" s="4" t="inlineStr">
        <is>
          <t>N/A</t>
        </is>
      </c>
      <c r="L90" s="4" t="n">
        <v>0</v>
      </c>
      <c r="M90" s="5" t="inlineStr">
        <is>
          <t>1-Speed Direct</t>
        </is>
      </c>
      <c r="N90" s="4" t="inlineStr">
        <is>
          <t>eAWD</t>
        </is>
      </c>
      <c r="O90" s="4" t="inlineStr">
        <is>
          <t>67 MPGe</t>
        </is>
      </c>
      <c r="P90" s="4" t="inlineStr">
        <is>
          <t>440</t>
        </is>
      </c>
      <c r="Q90" s="10" t="n">
        <v>205</v>
      </c>
      <c r="R90" s="4" t="n">
        <v>5</v>
      </c>
      <c r="S90" s="10" t="n">
        <v>57.7</v>
      </c>
      <c r="T90" s="7" t="n">
        <v>10000</v>
      </c>
      <c r="U90" s="11" t="inlineStr">
        <is>
          <t>9.0/10</t>
        </is>
      </c>
      <c r="V90" s="12" t="inlineStr">
        <is>
          <t xml:space="preserve"> • Massive instant electric torque
 • Innovative front frunk storage
 • Vehicle-to-home export power</t>
        </is>
      </c>
      <c r="W90" s="13" t="inlineStr">
        <is>
          <t xml:space="preserve"> • Significant range reduction while towing
 • DC fast-charging infrastructure bottlenecks
 • Heavy curb weight</t>
        </is>
      </c>
      <c r="X90" s="14" t="inlineStr">
        <is>
          <t>Revolutionary electric utility that transforms work sites and family travel when towing demands are modest.</t>
        </is>
      </c>
      <c r="Y90" s="15" t="inlineStr">
        <is>
          <t>https://hips.hearstapps.com/hmg-prod/images/2026-chevrolet-silverado-ev.jpg</t>
        </is>
      </c>
      <c r="Z90" s="15" t="inlineStr">
        <is>
          <t>https://www.caranddriver.com/chevrolet/silverado-ev</t>
        </is>
      </c>
      <c r="AA90" s="5" t="inlineStr">
        <is>
          <t>Car and Driver Tested</t>
        </is>
      </c>
    </row>
    <row r="91" ht="48" customHeight="1">
      <c r="A91" s="16" t="n">
        <v>2026</v>
      </c>
      <c r="B91" s="17" t="inlineStr">
        <is>
          <t>Chevrolet</t>
        </is>
      </c>
      <c r="C91" s="17" t="inlineStr">
        <is>
          <t>Silverado 2500HD</t>
        </is>
      </c>
      <c r="D91" s="17" t="inlineStr">
        <is>
          <t>High Country Duramax</t>
        </is>
      </c>
      <c r="E91" s="17" t="inlineStr">
        <is>
          <t>Heavy-Duty Truck</t>
        </is>
      </c>
      <c r="F91" s="17" t="inlineStr">
        <is>
          <t>Gasoline</t>
        </is>
      </c>
      <c r="G91" s="18" t="n">
        <v>82000</v>
      </c>
      <c r="H91" s="19" t="n">
        <v>470</v>
      </c>
      <c r="I91" s="19" t="n">
        <v>975</v>
      </c>
      <c r="J91" s="17" t="inlineStr">
        <is>
          <t>6.6L Duramax Turbo-Diesel V8</t>
        </is>
      </c>
      <c r="K91" s="20" t="n">
        <v>6.6</v>
      </c>
      <c r="L91" s="16" t="n">
        <v>8</v>
      </c>
      <c r="M91" s="17" t="inlineStr">
        <is>
          <t>10-Speed Allison Auto</t>
        </is>
      </c>
      <c r="N91" s="16" t="inlineStr">
        <is>
          <t>4WD</t>
        </is>
      </c>
      <c r="O91" s="16" t="inlineStr">
        <is>
          <t>15 (Est)</t>
        </is>
      </c>
      <c r="P91" s="16" t="inlineStr">
        <is>
          <t>N/A</t>
        </is>
      </c>
      <c r="Q91" s="21" t="inlineStr">
        <is>
          <t>N/A</t>
        </is>
      </c>
      <c r="R91" s="16" t="n">
        <v>5</v>
      </c>
      <c r="S91" s="22" t="n">
        <v>69.5</v>
      </c>
      <c r="T91" s="19" t="n">
        <v>22500</v>
      </c>
      <c r="U91" s="28" t="inlineStr">
        <is>
          <t>8.5/10</t>
        </is>
      </c>
      <c r="V91" s="24" t="inlineStr">
        <is>
          <t xml:space="preserve"> • Class-leading towing and hauling brawn
 • Palatial crew cab seating and storage
 • Intuitive cabin switchgear</t>
        </is>
      </c>
      <c r="W91" s="25" t="inlineStr">
        <is>
          <t xml:space="preserve"> • Large exterior dimensions in tight parking
 • Thirsty when loaded
 • Top trims push into luxury car pricing</t>
        </is>
      </c>
      <c r="X91" s="26" t="inlineStr">
        <is>
          <t>The backbone of American transportation, offering effortless hauling capability and luxury cabin appointments.</t>
        </is>
      </c>
      <c r="Y91" s="27" t="inlineStr">
        <is>
          <t>https://hips.hearstapps.com/hmg-prod/images/2026-chevrolet-silverado-2500hd.jpg</t>
        </is>
      </c>
      <c r="Z91" s="27" t="inlineStr">
        <is>
          <t>https://www.caranddriver.com/chevrolet/silverado-2500hd</t>
        </is>
      </c>
      <c r="AA91" s="17" t="inlineStr">
        <is>
          <t>Car and Driver Buyer's Guide</t>
        </is>
      </c>
    </row>
    <row r="92" ht="48" customHeight="1">
      <c r="A92" s="4" t="n">
        <v>2026</v>
      </c>
      <c r="B92" s="5" t="inlineStr">
        <is>
          <t>Chevrolet</t>
        </is>
      </c>
      <c r="C92" s="5" t="inlineStr">
        <is>
          <t>Corvette</t>
        </is>
      </c>
      <c r="D92" s="5" t="inlineStr">
        <is>
          <t>Stingray 1LT Coupe</t>
        </is>
      </c>
      <c r="E92" s="5" t="inlineStr">
        <is>
          <t>Sports Car</t>
        </is>
      </c>
      <c r="F92" s="5" t="inlineStr">
        <is>
          <t>Gasoline</t>
        </is>
      </c>
      <c r="G92" s="6" t="n">
        <v>70000</v>
      </c>
      <c r="H92" s="7" t="n">
        <v>495</v>
      </c>
      <c r="I92" s="7" t="n">
        <v>470</v>
      </c>
      <c r="J92" s="5" t="inlineStr">
        <is>
          <t>6.2L LT2 V8</t>
        </is>
      </c>
      <c r="K92" s="8" t="n">
        <v>6.2</v>
      </c>
      <c r="L92" s="4" t="n">
        <v>8</v>
      </c>
      <c r="M92" s="5" t="inlineStr">
        <is>
          <t>8-Speed Dual-Clutch</t>
        </is>
      </c>
      <c r="N92" s="4" t="inlineStr">
        <is>
          <t>RWD</t>
        </is>
      </c>
      <c r="O92" s="4" t="inlineStr">
        <is>
          <t>19 (16/24)</t>
        </is>
      </c>
      <c r="P92" s="4" t="inlineStr">
        <is>
          <t>N/A</t>
        </is>
      </c>
      <c r="Q92" s="9" t="inlineStr">
        <is>
          <t>N/A</t>
        </is>
      </c>
      <c r="R92" s="4" t="n">
        <v>2</v>
      </c>
      <c r="S92" s="10" t="n">
        <v>12.6</v>
      </c>
      <c r="T92" s="4" t="inlineStr">
        <is>
          <t>N/A</t>
        </is>
      </c>
      <c r="U92" s="29" t="inlineStr">
        <is>
          <t>10/10</t>
        </is>
      </c>
      <c r="V92" s="12" t="inlineStr">
        <is>
          <t xml:space="preserve"> • Exotic mid-engine balance and poise
 • Everyday usability and luggage trunks
 • Bargain supercar speed</t>
        </is>
      </c>
      <c r="W92" s="13" t="inlineStr">
        <is>
          <t xml:space="preserve"> • No manual gearbox offered
 • Intimidating cockpit wall of buttons
 • Compromised rearward view</t>
        </is>
      </c>
      <c r="X92" s="14" t="inlineStr">
        <is>
          <t>The C8 Stingray remains one of the finest sports car achievements in modern automotive history.</t>
        </is>
      </c>
      <c r="Y92" s="15" t="inlineStr">
        <is>
          <t>https://hips.hearstapps.com/hmg-prod/images/2026-chevrolet-corvette.jpg</t>
        </is>
      </c>
      <c r="Z92" s="15" t="inlineStr">
        <is>
          <t>https://www.caranddriver.com/chevrolet/corvette</t>
        </is>
      </c>
      <c r="AA92" s="5" t="inlineStr">
        <is>
          <t>Car and Driver 10Best Winner</t>
        </is>
      </c>
    </row>
    <row r="93" ht="48" customHeight="1">
      <c r="A93" s="16" t="n">
        <v>2026</v>
      </c>
      <c r="B93" s="17" t="inlineStr">
        <is>
          <t>Chevrolet</t>
        </is>
      </c>
      <c r="C93" s="17" t="inlineStr">
        <is>
          <t>Corvette</t>
        </is>
      </c>
      <c r="D93" s="17" t="inlineStr">
        <is>
          <t>E-Ray 1LZ AWD</t>
        </is>
      </c>
      <c r="E93" s="17" t="inlineStr">
        <is>
          <t>Hybrid Supercar</t>
        </is>
      </c>
      <c r="F93" s="17" t="inlineStr">
        <is>
          <t>Gas-Electric Hybrid</t>
        </is>
      </c>
      <c r="G93" s="18" t="n">
        <v>106595</v>
      </c>
      <c r="H93" s="19" t="n">
        <v>655</v>
      </c>
      <c r="I93" s="19" t="n">
        <v>595</v>
      </c>
      <c r="J93" s="17" t="inlineStr">
        <is>
          <t>6.2L LT2 V8 + Front Motor</t>
        </is>
      </c>
      <c r="K93" s="20" t="n">
        <v>6.2</v>
      </c>
      <c r="L93" s="16" t="n">
        <v>8</v>
      </c>
      <c r="M93" s="17" t="inlineStr">
        <is>
          <t>8-Speed Dual-Clutch</t>
        </is>
      </c>
      <c r="N93" s="16" t="inlineStr">
        <is>
          <t>eAWD</t>
        </is>
      </c>
      <c r="O93" s="16" t="inlineStr">
        <is>
          <t>19 (16/24)</t>
        </is>
      </c>
      <c r="P93" s="16" t="inlineStr">
        <is>
          <t>N/A</t>
        </is>
      </c>
      <c r="Q93" s="22" t="n">
        <v>1.9</v>
      </c>
      <c r="R93" s="16" t="n">
        <v>2</v>
      </c>
      <c r="S93" s="22" t="n">
        <v>12.6</v>
      </c>
      <c r="T93" s="16" t="inlineStr">
        <is>
          <t>N/A</t>
        </is>
      </c>
      <c r="U93" s="23" t="inlineStr">
        <is>
          <t>10/10</t>
        </is>
      </c>
      <c r="V93" s="24" t="inlineStr">
        <is>
          <t xml:space="preserve"> • Blistering all-weather launch grip
 • Stealth mode EV cruising capability
 • GT touring ride comfort</t>
        </is>
      </c>
      <c r="W93" s="25" t="inlineStr">
        <is>
          <t xml:space="preserve"> • Heavier than standard Stingray
 • No manual option
 • High price tier</t>
        </is>
      </c>
      <c r="X93" s="26" t="inlineStr">
        <is>
          <t>The Corvette E-Ray blends instant electric all-wheel-drive traction with traditional pushrod V8 thunder.</t>
        </is>
      </c>
      <c r="Y93" s="27" t="inlineStr">
        <is>
          <t>https://hips.hearstapps.com/hmg-prod/images/2026-chevrolet-corvette.jpg</t>
        </is>
      </c>
      <c r="Z93" s="27" t="inlineStr">
        <is>
          <t>https://www.caranddriver.com/chevrolet/corvette-e-ray</t>
        </is>
      </c>
      <c r="AA93" s="17" t="inlineStr">
        <is>
          <t>Car and Driver 10Best</t>
        </is>
      </c>
    </row>
    <row r="94" ht="48" customHeight="1">
      <c r="A94" s="4" t="n">
        <v>2026</v>
      </c>
      <c r="B94" s="5" t="inlineStr">
        <is>
          <t>Chevrolet</t>
        </is>
      </c>
      <c r="C94" s="5" t="inlineStr">
        <is>
          <t>Corvette</t>
        </is>
      </c>
      <c r="D94" s="5" t="inlineStr">
        <is>
          <t>Z06 1LZ Coupe</t>
        </is>
      </c>
      <c r="E94" s="5" t="inlineStr">
        <is>
          <t>Supercar</t>
        </is>
      </c>
      <c r="F94" s="5" t="inlineStr">
        <is>
          <t>Gasoline</t>
        </is>
      </c>
      <c r="G94" s="6" t="n">
        <v>114395</v>
      </c>
      <c r="H94" s="7" t="n">
        <v>670</v>
      </c>
      <c r="I94" s="7" t="n">
        <v>460</v>
      </c>
      <c r="J94" s="5" t="inlineStr">
        <is>
          <t>5.5L Flat-Plane LT6 V8</t>
        </is>
      </c>
      <c r="K94" s="8" t="n">
        <v>5.5</v>
      </c>
      <c r="L94" s="4" t="n">
        <v>8</v>
      </c>
      <c r="M94" s="5" t="inlineStr">
        <is>
          <t>8-Speed Dual-Clutch</t>
        </is>
      </c>
      <c r="N94" s="4" t="inlineStr">
        <is>
          <t>RWD</t>
        </is>
      </c>
      <c r="O94" s="4" t="inlineStr">
        <is>
          <t>15 (12/19)</t>
        </is>
      </c>
      <c r="P94" s="4" t="inlineStr">
        <is>
          <t>N/A</t>
        </is>
      </c>
      <c r="Q94" s="9" t="inlineStr">
        <is>
          <t>N/A</t>
        </is>
      </c>
      <c r="R94" s="4" t="n">
        <v>2</v>
      </c>
      <c r="S94" s="10" t="n">
        <v>12.6</v>
      </c>
      <c r="T94" s="4" t="inlineStr">
        <is>
          <t>N/A</t>
        </is>
      </c>
      <c r="U94" s="29" t="inlineStr">
        <is>
          <t>10/10</t>
        </is>
      </c>
      <c r="V94" s="12" t="inlineStr">
        <is>
          <t xml:space="preserve"> • Exotic 8600-rpm flat-plane V8 scream
 • Supercar grip and telepathic steering
 • Unbeatable exotic value</t>
        </is>
      </c>
      <c r="W94" s="13" t="inlineStr">
        <is>
          <t xml:space="preserve"> • Fierce fuel consumption
 • Firm ride around town
 • Limited luggage storage</t>
        </is>
      </c>
      <c r="X94" s="14" t="inlineStr">
        <is>
          <t>A track-focused masterstroke whose naturally aspirated engine is one of the greatest combustion motors ever created.</t>
        </is>
      </c>
      <c r="Y94" s="15" t="inlineStr">
        <is>
          <t>https://hips.hearstapps.com/hmg-prod/images/2026-chevrolet-corvette.jpg</t>
        </is>
      </c>
      <c r="Z94" s="15" t="inlineStr">
        <is>
          <t>https://www.caranddriver.com/chevrolet/corvette-z06</t>
        </is>
      </c>
      <c r="AA94" s="5" t="inlineStr">
        <is>
          <t>Car and Driver 10Best Winner</t>
        </is>
      </c>
    </row>
    <row r="95" ht="48" customHeight="1">
      <c r="A95" s="16" t="n">
        <v>2026</v>
      </c>
      <c r="B95" s="17" t="inlineStr">
        <is>
          <t>Chevrolet</t>
        </is>
      </c>
      <c r="C95" s="17" t="inlineStr">
        <is>
          <t>Corvette</t>
        </is>
      </c>
      <c r="D95" s="17" t="inlineStr">
        <is>
          <t>ZR1 Coupe</t>
        </is>
      </c>
      <c r="E95" s="17" t="inlineStr">
        <is>
          <t>Flagship Hypercar</t>
        </is>
      </c>
      <c r="F95" s="17" t="inlineStr">
        <is>
          <t>Gasoline</t>
        </is>
      </c>
      <c r="G95" s="18" t="n">
        <v>180000</v>
      </c>
      <c r="H95" s="19" t="n">
        <v>1064</v>
      </c>
      <c r="I95" s="19" t="n">
        <v>828</v>
      </c>
      <c r="J95" s="17" t="inlineStr">
        <is>
          <t>5.5L Twin-Turbo Flat-Plane LT7 V8</t>
        </is>
      </c>
      <c r="K95" s="20" t="n">
        <v>5.5</v>
      </c>
      <c r="L95" s="16" t="n">
        <v>8</v>
      </c>
      <c r="M95" s="17" t="inlineStr">
        <is>
          <t>8-Speed Dual-Clutch</t>
        </is>
      </c>
      <c r="N95" s="16" t="inlineStr">
        <is>
          <t>RWD</t>
        </is>
      </c>
      <c r="O95" s="16" t="inlineStr">
        <is>
          <t>14 (11/17 Est)</t>
        </is>
      </c>
      <c r="P95" s="16" t="inlineStr">
        <is>
          <t>N/A</t>
        </is>
      </c>
      <c r="Q95" s="21" t="inlineStr">
        <is>
          <t>N/A</t>
        </is>
      </c>
      <c r="R95" s="16" t="n">
        <v>2</v>
      </c>
      <c r="S95" s="22" t="n">
        <v>12.6</v>
      </c>
      <c r="T95" s="16" t="inlineStr">
        <is>
          <t>N/A</t>
        </is>
      </c>
      <c r="U95" s="23" t="inlineStr">
        <is>
          <t>10/10</t>
        </is>
      </c>
      <c r="V95" s="24" t="inlineStr">
        <is>
          <t xml:space="preserve"> • Astounding 1064-hp twin-turbo V8
 • True hypercar-crushing performance
 • Dramatic aero package</t>
        </is>
      </c>
      <c r="W95" s="25" t="inlineStr">
        <is>
          <t xml:space="preserve"> • Expect massive dealer markups
 • Tire appetite under track use
 • Stiff ride on rough roads</t>
        </is>
      </c>
      <c r="X95" s="26" t="inlineStr">
        <is>
          <t>The Corvette ZR1 takes American supercar performance into uncharted hypercar territory with four-digit horsepower.</t>
        </is>
      </c>
      <c r="Y95" s="27" t="inlineStr">
        <is>
          <t>https://hips.hearstapps.com/hmg-prod/images/2026-chevrolet-corvette.jpg</t>
        </is>
      </c>
      <c r="Z95" s="27" t="inlineStr">
        <is>
          <t>https://www.caranddriver.com/chevrolet/corvette-zr1</t>
        </is>
      </c>
      <c r="AA95" s="17" t="inlineStr">
        <is>
          <t>Car and Driver Deep Dive</t>
        </is>
      </c>
    </row>
    <row r="96" ht="48" customHeight="1">
      <c r="A96" s="4" t="n">
        <v>2026</v>
      </c>
      <c r="B96" s="5" t="inlineStr">
        <is>
          <t>Chrysler</t>
        </is>
      </c>
      <c r="C96" s="5" t="inlineStr">
        <is>
          <t>Pacifica</t>
        </is>
      </c>
      <c r="D96" s="5" t="inlineStr">
        <is>
          <t>Pinnacle Hybrid</t>
        </is>
      </c>
      <c r="E96" s="5" t="inlineStr">
        <is>
          <t>Plug-in Hybrid Minivan</t>
        </is>
      </c>
      <c r="F96" s="5" t="inlineStr">
        <is>
          <t>PHEV</t>
        </is>
      </c>
      <c r="G96" s="6" t="n">
        <v>61000</v>
      </c>
      <c r="H96" s="7" t="n">
        <v>260</v>
      </c>
      <c r="I96" s="7" t="n">
        <v>235</v>
      </c>
      <c r="J96" s="5" t="inlineStr">
        <is>
          <t>3.6L V6 + Dual Motors</t>
        </is>
      </c>
      <c r="K96" s="8" t="n">
        <v>3.6</v>
      </c>
      <c r="L96" s="4" t="n">
        <v>6</v>
      </c>
      <c r="M96" s="5" t="inlineStr">
        <is>
          <t>eFlite EVT</t>
        </is>
      </c>
      <c r="N96" s="4" t="inlineStr">
        <is>
          <t>FWD</t>
        </is>
      </c>
      <c r="O96" s="4" t="inlineStr">
        <is>
          <t>82 MPGe / 30 Comb</t>
        </is>
      </c>
      <c r="P96" s="4" t="inlineStr">
        <is>
          <t>32</t>
        </is>
      </c>
      <c r="Q96" s="10" t="n">
        <v>16</v>
      </c>
      <c r="R96" s="4" t="n">
        <v>7</v>
      </c>
      <c r="S96" s="10" t="n">
        <v>32.3</v>
      </c>
      <c r="T96" s="7" t="n">
        <v>3600</v>
      </c>
      <c r="U96" s="11" t="inlineStr">
        <is>
          <t>9.0/10</t>
        </is>
      </c>
      <c r="V96" s="12" t="inlineStr">
        <is>
          <t xml:space="preserve"> • Superb real-world fuel economy
 • Smooth electric-gas power handover
 • No range anxiety on long trips</t>
        </is>
      </c>
      <c r="W96" s="13" t="inlineStr">
        <is>
          <t xml:space="preserve"> • Added curb weight from battery packs
 • Slightly compromised cargo space
 • eCVT engine flare during passing</t>
        </is>
      </c>
      <c r="X96" s="14" t="inlineStr">
        <is>
          <t>A finely engineered phev plug-in hybrid minivan striking the optimal balance between high efficiency and long-distance practicality.</t>
        </is>
      </c>
      <c r="Y96" s="15" t="inlineStr">
        <is>
          <t>https://hips.hearstapps.com/hmg-prod/images/2026-chrysler-pacifica.jpg</t>
        </is>
      </c>
      <c r="Z96" s="15" t="inlineStr">
        <is>
          <t>https://www.caranddriver.com/chrysler/pacifica</t>
        </is>
      </c>
      <c r="AA96" s="5" t="inlineStr">
        <is>
          <t>Car and Driver Editors' Choice</t>
        </is>
      </c>
    </row>
    <row r="97" ht="48" customHeight="1">
      <c r="A97" s="16" t="n">
        <v>2026</v>
      </c>
      <c r="B97" s="17" t="inlineStr">
        <is>
          <t>Chrysler</t>
        </is>
      </c>
      <c r="C97" s="17" t="inlineStr">
        <is>
          <t>Voyager</t>
        </is>
      </c>
      <c r="D97" s="17" t="inlineStr">
        <is>
          <t>LX</t>
        </is>
      </c>
      <c r="E97" s="17" t="inlineStr">
        <is>
          <t>Budget Minivan</t>
        </is>
      </c>
      <c r="F97" s="17" t="inlineStr">
        <is>
          <t>Gasoline</t>
        </is>
      </c>
      <c r="G97" s="18" t="n">
        <v>41000</v>
      </c>
      <c r="H97" s="19" t="n">
        <v>287</v>
      </c>
      <c r="I97" s="19" t="n">
        <v>262</v>
      </c>
      <c r="J97" s="17" t="inlineStr">
        <is>
          <t>3.6L Pentastar V6</t>
        </is>
      </c>
      <c r="K97" s="20" t="n">
        <v>3.6</v>
      </c>
      <c r="L97" s="16" t="n">
        <v>6</v>
      </c>
      <c r="M97" s="17" t="inlineStr">
        <is>
          <t>9-Speed Auto</t>
        </is>
      </c>
      <c r="N97" s="16" t="inlineStr">
        <is>
          <t>FWD</t>
        </is>
      </c>
      <c r="O97" s="16" t="inlineStr">
        <is>
          <t>22 (19/28)</t>
        </is>
      </c>
      <c r="P97" s="16" t="inlineStr">
        <is>
          <t>N/A</t>
        </is>
      </c>
      <c r="Q97" s="21" t="inlineStr">
        <is>
          <t>N/A</t>
        </is>
      </c>
      <c r="R97" s="16" t="n">
        <v>7</v>
      </c>
      <c r="S97" s="22" t="n">
        <v>32.3</v>
      </c>
      <c r="T97" s="19" t="n">
        <v>3600</v>
      </c>
      <c r="U97" s="28" t="inlineStr">
        <is>
          <t>7.5/10</t>
        </is>
      </c>
      <c r="V97" s="24" t="inlineStr">
        <is>
          <t xml:space="preserve"> • Refined performance and chassis poise
 • Comfortable ergonomic cabin
 • Comprehensive safety suite</t>
        </is>
      </c>
      <c r="W97" s="25" t="inlineStr">
        <is>
          <t xml:space="preserve"> • Firm ride on optional large wheels
 • Option packages add up quickly
 • Infotainment learning curve</t>
        </is>
      </c>
      <c r="X97" s="26" t="inlineStr">
        <is>
          <t>A solid, well-rounded contender in the US budget minivan class with competitive dynamics.</t>
        </is>
      </c>
      <c r="Y97" s="27" t="inlineStr">
        <is>
          <t>https://hips.hearstapps.com/hmg-prod/images/2026-chrysler-voyager.jpg</t>
        </is>
      </c>
      <c r="Z97" s="27" t="inlineStr">
        <is>
          <t>https://www.caranddriver.com/chrysler/voyager</t>
        </is>
      </c>
      <c r="AA97" s="17" t="inlineStr">
        <is>
          <t>Car and Driver Buyer's Guide</t>
        </is>
      </c>
    </row>
    <row r="98" ht="48" customHeight="1">
      <c r="A98" s="4" t="n">
        <v>2026</v>
      </c>
      <c r="B98" s="5" t="inlineStr">
        <is>
          <t>Dodge</t>
        </is>
      </c>
      <c r="C98" s="5" t="inlineStr">
        <is>
          <t>Hornet</t>
        </is>
      </c>
      <c r="D98" s="5" t="inlineStr">
        <is>
          <t>R/T Plus EAWD</t>
        </is>
      </c>
      <c r="E98" s="5" t="inlineStr">
        <is>
          <t>Compact Performance Crossover</t>
        </is>
      </c>
      <c r="F98" s="5" t="inlineStr">
        <is>
          <t>PHEV</t>
        </is>
      </c>
      <c r="G98" s="6" t="n">
        <v>48000</v>
      </c>
      <c r="H98" s="7" t="n">
        <v>288</v>
      </c>
      <c r="I98" s="7" t="n">
        <v>383</v>
      </c>
      <c r="J98" s="5" t="inlineStr">
        <is>
          <t>1.3L Turbo I4 + Motor</t>
        </is>
      </c>
      <c r="K98" s="8" t="n">
        <v>1.3</v>
      </c>
      <c r="L98" s="4" t="n">
        <v>4</v>
      </c>
      <c r="M98" s="5" t="inlineStr">
        <is>
          <t>6-Speed Auto</t>
        </is>
      </c>
      <c r="N98" s="4" t="inlineStr">
        <is>
          <t>AWD</t>
        </is>
      </c>
      <c r="O98" s="4" t="inlineStr">
        <is>
          <t>77 MPGe / 29 Comb</t>
        </is>
      </c>
      <c r="P98" s="4" t="inlineStr">
        <is>
          <t>32</t>
        </is>
      </c>
      <c r="Q98" s="10" t="n">
        <v>15.5</v>
      </c>
      <c r="R98" s="4" t="n">
        <v>5</v>
      </c>
      <c r="S98" s="10" t="n">
        <v>27</v>
      </c>
      <c r="T98" s="7" t="n">
        <v>2000</v>
      </c>
      <c r="U98" s="11" t="inlineStr">
        <is>
          <t>8.0/10</t>
        </is>
      </c>
      <c r="V98" s="12" t="inlineStr">
        <is>
          <t xml:space="preserve"> • Superb real-world fuel economy
 • Smooth electric-gas power handover
 • No range anxiety on long trips</t>
        </is>
      </c>
      <c r="W98" s="13" t="inlineStr">
        <is>
          <t xml:space="preserve"> • Added curb weight from battery packs
 • Slightly compromised cargo space
 • eCVT engine flare during passing</t>
        </is>
      </c>
      <c r="X98" s="14" t="inlineStr">
        <is>
          <t>A finely engineered phev compact performance crossover striking the optimal balance between high efficiency and long-distance practicality.</t>
        </is>
      </c>
      <c r="Y98" s="15" t="inlineStr">
        <is>
          <t>https://hips.hearstapps.com/hmg-prod/images/2026-dodge-hornet.jpg</t>
        </is>
      </c>
      <c r="Z98" s="15" t="inlineStr">
        <is>
          <t>https://www.caranddriver.com/dodge/hornet</t>
        </is>
      </c>
      <c r="AA98" s="5" t="inlineStr">
        <is>
          <t>Car and Driver Buyer's Guide</t>
        </is>
      </c>
    </row>
    <row r="99" ht="48" customHeight="1">
      <c r="A99" s="16" t="n">
        <v>2026</v>
      </c>
      <c r="B99" s="17" t="inlineStr">
        <is>
          <t>Dodge</t>
        </is>
      </c>
      <c r="C99" s="17" t="inlineStr">
        <is>
          <t>Charger Daytona</t>
        </is>
      </c>
      <c r="D99" s="17" t="inlineStr">
        <is>
          <t>R/T Stage 1</t>
        </is>
      </c>
      <c r="E99" s="17" t="inlineStr">
        <is>
          <t>2-Door Muscle EV</t>
        </is>
      </c>
      <c r="F99" s="17" t="inlineStr">
        <is>
          <t>Electric</t>
        </is>
      </c>
      <c r="G99" s="18" t="n">
        <v>61590</v>
      </c>
      <c r="H99" s="19" t="n">
        <v>496</v>
      </c>
      <c r="I99" s="19" t="n">
        <v>404</v>
      </c>
      <c r="J99" s="17" t="inlineStr">
        <is>
          <t>Dual 250kW Electric Motors</t>
        </is>
      </c>
      <c r="K99" s="16" t="inlineStr">
        <is>
          <t>N/A</t>
        </is>
      </c>
      <c r="L99" s="16" t="n">
        <v>0</v>
      </c>
      <c r="M99" s="17" t="inlineStr">
        <is>
          <t>1-Speed Direct</t>
        </is>
      </c>
      <c r="N99" s="16" t="inlineStr">
        <is>
          <t>AWD</t>
        </is>
      </c>
      <c r="O99" s="16" t="inlineStr">
        <is>
          <t>82 MPGe</t>
        </is>
      </c>
      <c r="P99" s="16" t="inlineStr">
        <is>
          <t>317</t>
        </is>
      </c>
      <c r="Q99" s="22" t="n">
        <v>100.5</v>
      </c>
      <c r="R99" s="16" t="n">
        <v>5</v>
      </c>
      <c r="S99" s="22" t="n">
        <v>22.8</v>
      </c>
      <c r="T99" s="16" t="inlineStr">
        <is>
          <t>N/A</t>
        </is>
      </c>
      <c r="U99" s="28" t="inlineStr">
        <is>
          <t>8.5/10</t>
        </is>
      </c>
      <c r="V99" s="24" t="inlineStr">
        <is>
          <t xml:space="preserve"> • Silent, instantaneous acceleration
 • Low center of gravity enhances stability
 • Zero tailpipe emissions</t>
        </is>
      </c>
      <c r="W99" s="25" t="inlineStr">
        <is>
          <t xml:space="preserve"> • Highway range drops at sustained speed
 • Public charging network variability
 • Pricier initial purchase cost</t>
        </is>
      </c>
      <c r="X99" s="26" t="inlineStr">
        <is>
          <t>A compelling electric entry in the 2-door muscle ev segment offering smooth power delivery and advanced tech.</t>
        </is>
      </c>
      <c r="Y99" s="27" t="inlineStr">
        <is>
          <t>https://hips.hearstapps.com/hmg-prod/images/2026-dodge-charger-daytona.jpg</t>
        </is>
      </c>
      <c r="Z99" s="27" t="inlineStr">
        <is>
          <t>https://www.caranddriver.com/dodge/charger-daytona</t>
        </is>
      </c>
      <c r="AA99" s="17" t="inlineStr">
        <is>
          <t>Car and Driver First Drive</t>
        </is>
      </c>
    </row>
    <row r="100" ht="48" customHeight="1">
      <c r="A100" s="4" t="n">
        <v>2026</v>
      </c>
      <c r="B100" s="5" t="inlineStr">
        <is>
          <t>Dodge</t>
        </is>
      </c>
      <c r="C100" s="5" t="inlineStr">
        <is>
          <t>Charger Daytona</t>
        </is>
      </c>
      <c r="D100" s="5" t="inlineStr">
        <is>
          <t>Scat Pack Stage 2</t>
        </is>
      </c>
      <c r="E100" s="5" t="inlineStr">
        <is>
          <t>2-Door Muscle EV</t>
        </is>
      </c>
      <c r="F100" s="5" t="inlineStr">
        <is>
          <t>Electric</t>
        </is>
      </c>
      <c r="G100" s="6" t="n">
        <v>75185</v>
      </c>
      <c r="H100" s="7" t="n">
        <v>670</v>
      </c>
      <c r="I100" s="7" t="n">
        <v>627</v>
      </c>
      <c r="J100" s="5" t="inlineStr">
        <is>
          <t>Dual 335kW Motors</t>
        </is>
      </c>
      <c r="K100" s="4" t="inlineStr">
        <is>
          <t>N/A</t>
        </is>
      </c>
      <c r="L100" s="4" t="n">
        <v>0</v>
      </c>
      <c r="M100" s="5" t="inlineStr">
        <is>
          <t>1-Speed Direct</t>
        </is>
      </c>
      <c r="N100" s="4" t="inlineStr">
        <is>
          <t>AWD</t>
        </is>
      </c>
      <c r="O100" s="4" t="inlineStr">
        <is>
          <t>76 MPGe</t>
        </is>
      </c>
      <c r="P100" s="4" t="inlineStr">
        <is>
          <t>260</t>
        </is>
      </c>
      <c r="Q100" s="10" t="n">
        <v>100.5</v>
      </c>
      <c r="R100" s="4" t="n">
        <v>5</v>
      </c>
      <c r="S100" s="10" t="n">
        <v>22.8</v>
      </c>
      <c r="T100" s="4" t="inlineStr">
        <is>
          <t>N/A</t>
        </is>
      </c>
      <c r="U100" s="11" t="inlineStr">
        <is>
          <t>8.5/10</t>
        </is>
      </c>
      <c r="V100" s="12" t="inlineStr">
        <is>
          <t xml:space="preserve"> • Silent, instantaneous acceleration
 • Low center of gravity enhances stability
 • Zero tailpipe emissions</t>
        </is>
      </c>
      <c r="W100" s="13" t="inlineStr">
        <is>
          <t xml:space="preserve"> • Highway range drops at sustained speed
 • Public charging network variability
 • Pricier initial purchase cost</t>
        </is>
      </c>
      <c r="X100" s="14" t="inlineStr">
        <is>
          <t>A compelling electric entry in the 2-door muscle ev segment offering smooth power delivery and advanced tech.</t>
        </is>
      </c>
      <c r="Y100" s="15" t="inlineStr">
        <is>
          <t>https://hips.hearstapps.com/hmg-prod/images/2026-dodge-charger-daytona.jpg</t>
        </is>
      </c>
      <c r="Z100" s="15" t="inlineStr">
        <is>
          <t>https://www.caranddriver.com/dodge/charger-daytona</t>
        </is>
      </c>
      <c r="AA100" s="5" t="inlineStr">
        <is>
          <t>Car and Driver First Drive</t>
        </is>
      </c>
    </row>
    <row r="101" ht="48" customHeight="1">
      <c r="A101" s="16" t="n">
        <v>2026</v>
      </c>
      <c r="B101" s="17" t="inlineStr">
        <is>
          <t>Dodge</t>
        </is>
      </c>
      <c r="C101" s="17" t="inlineStr">
        <is>
          <t>Charger Sixpack</t>
        </is>
      </c>
      <c r="D101" s="17" t="inlineStr">
        <is>
          <t>Scat Pack HO</t>
        </is>
      </c>
      <c r="E101" s="17" t="inlineStr">
        <is>
          <t>Muscle Car</t>
        </is>
      </c>
      <c r="F101" s="17" t="inlineStr">
        <is>
          <t>Gasoline</t>
        </is>
      </c>
      <c r="G101" s="18" t="n">
        <v>56000</v>
      </c>
      <c r="H101" s="19" t="n">
        <v>550</v>
      </c>
      <c r="I101" s="19" t="n">
        <v>521</v>
      </c>
      <c r="J101" s="17" t="inlineStr">
        <is>
          <t>3.0L Hurricane Twin-Turbo I6</t>
        </is>
      </c>
      <c r="K101" s="20" t="n">
        <v>3</v>
      </c>
      <c r="L101" s="16" t="n">
        <v>6</v>
      </c>
      <c r="M101" s="17" t="inlineStr">
        <is>
          <t>8-Speed Auto</t>
        </is>
      </c>
      <c r="N101" s="16" t="inlineStr">
        <is>
          <t>AWD</t>
        </is>
      </c>
      <c r="O101" s="16" t="inlineStr">
        <is>
          <t>20 (17/25)</t>
        </is>
      </c>
      <c r="P101" s="16" t="inlineStr">
        <is>
          <t>N/A</t>
        </is>
      </c>
      <c r="Q101" s="21" t="inlineStr">
        <is>
          <t>N/A</t>
        </is>
      </c>
      <c r="R101" s="16" t="n">
        <v>5</v>
      </c>
      <c r="S101" s="22" t="n">
        <v>22.8</v>
      </c>
      <c r="T101" s="16" t="inlineStr">
        <is>
          <t>N/A</t>
        </is>
      </c>
      <c r="U101" s="28" t="inlineStr">
        <is>
          <t>9.0/10</t>
        </is>
      </c>
      <c r="V101" s="24" t="inlineStr">
        <is>
          <t xml:space="preserve"> • Refined performance and chassis poise
 • Comfortable ergonomic cabin
 • Comprehensive safety suite</t>
        </is>
      </c>
      <c r="W101" s="25" t="inlineStr">
        <is>
          <t xml:space="preserve"> • Firm ride on optional large wheels
 • Option packages add up quickly
 • Infotainment learning curve</t>
        </is>
      </c>
      <c r="X101" s="26" t="inlineStr">
        <is>
          <t>A solid, well-rounded contender in the US muscle car class with competitive dynamics.</t>
        </is>
      </c>
      <c r="Y101" s="27" t="inlineStr">
        <is>
          <t>https://hips.hearstapps.com/hmg-prod/images/2026-dodge-charger-sixpack.jpg</t>
        </is>
      </c>
      <c r="Z101" s="27" t="inlineStr">
        <is>
          <t>https://www.caranddriver.com/dodge/charger</t>
        </is>
      </c>
      <c r="AA101" s="17" t="inlineStr">
        <is>
          <t>Car and Driver Preview</t>
        </is>
      </c>
    </row>
    <row r="102" ht="48" customHeight="1">
      <c r="A102" s="4" t="n">
        <v>2026</v>
      </c>
      <c r="B102" s="5" t="inlineStr">
        <is>
          <t>Dodge</t>
        </is>
      </c>
      <c r="C102" s="5" t="inlineStr">
        <is>
          <t>Durango</t>
        </is>
      </c>
      <c r="D102" s="5" t="inlineStr">
        <is>
          <t>SRT Hellcat Hammerhead</t>
        </is>
      </c>
      <c r="E102" s="5" t="inlineStr">
        <is>
          <t>3-Row Performance SUV</t>
        </is>
      </c>
      <c r="F102" s="5" t="inlineStr">
        <is>
          <t>Gasoline</t>
        </is>
      </c>
      <c r="G102" s="6" t="n">
        <v>115315</v>
      </c>
      <c r="H102" s="7" t="n">
        <v>710</v>
      </c>
      <c r="I102" s="7" t="n">
        <v>645</v>
      </c>
      <c r="J102" s="5" t="inlineStr">
        <is>
          <t>6.2L Supercharged HEMI V8</t>
        </is>
      </c>
      <c r="K102" s="8" t="n">
        <v>6.2</v>
      </c>
      <c r="L102" s="4" t="n">
        <v>8</v>
      </c>
      <c r="M102" s="5" t="inlineStr">
        <is>
          <t>8-Speed Auto</t>
        </is>
      </c>
      <c r="N102" s="4" t="inlineStr">
        <is>
          <t>AWD</t>
        </is>
      </c>
      <c r="O102" s="4" t="inlineStr">
        <is>
          <t>13 (12/17)</t>
        </is>
      </c>
      <c r="P102" s="4" t="inlineStr">
        <is>
          <t>N/A</t>
        </is>
      </c>
      <c r="Q102" s="9" t="inlineStr">
        <is>
          <t>N/A</t>
        </is>
      </c>
      <c r="R102" s="4" t="n">
        <v>6</v>
      </c>
      <c r="S102" s="10" t="n">
        <v>17.2</v>
      </c>
      <c r="T102" s="7" t="n">
        <v>8700</v>
      </c>
      <c r="U102" s="11" t="inlineStr">
        <is>
          <t>8.0/10</t>
        </is>
      </c>
      <c r="V102" s="12" t="inlineStr">
        <is>
          <t xml:space="preserve"> • Spacious passenger and cargo room
 • Commanding elevated driving position
 • Confidence-inspiring all-weather grip</t>
        </is>
      </c>
      <c r="W102" s="13" t="inlineStr">
        <is>
          <t xml:space="preserve"> • Higher center of gravity than sedans
 • Fuel consumption under heavy load
 • Less engaging steering feel</t>
        </is>
      </c>
      <c r="X102" s="14" t="inlineStr">
        <is>
          <t>A highly versatile 3-row performance suv that delivers generous space, modern safety tech, and daily utility.</t>
        </is>
      </c>
      <c r="Y102" s="15" t="inlineStr">
        <is>
          <t>https://hips.hearstapps.com/hmg-prod/images/2026-dodge-durango.jpg</t>
        </is>
      </c>
      <c r="Z102" s="15" t="inlineStr">
        <is>
          <t>https://www.caranddriver.com/dodge/durango-srt-392-srt-hellcat</t>
        </is>
      </c>
      <c r="AA102" s="5" t="inlineStr">
        <is>
          <t>Car and Driver Buyer's Guide</t>
        </is>
      </c>
    </row>
    <row r="103" ht="48" customHeight="1">
      <c r="A103" s="16" t="n">
        <v>2026</v>
      </c>
      <c r="B103" s="17" t="inlineStr">
        <is>
          <t>Ferrari</t>
        </is>
      </c>
      <c r="C103" s="17" t="inlineStr">
        <is>
          <t>296 GTB</t>
        </is>
      </c>
      <c r="D103" s="17" t="inlineStr">
        <is>
          <t>Coupe Base</t>
        </is>
      </c>
      <c r="E103" s="17" t="inlineStr">
        <is>
          <t>Mid-Engine Supercar</t>
        </is>
      </c>
      <c r="F103" s="17" t="inlineStr">
        <is>
          <t>PHEV</t>
        </is>
      </c>
      <c r="G103" s="18" t="n">
        <v>342000</v>
      </c>
      <c r="H103" s="19" t="n">
        <v>819</v>
      </c>
      <c r="I103" s="19" t="n">
        <v>546</v>
      </c>
      <c r="J103" s="17" t="inlineStr">
        <is>
          <t>3.0L Twin-Turbo V6 + Motor</t>
        </is>
      </c>
      <c r="K103" s="20" t="n">
        <v>3</v>
      </c>
      <c r="L103" s="16" t="n">
        <v>6</v>
      </c>
      <c r="M103" s="17" t="inlineStr">
        <is>
          <t>8-Speed Dual-Clutch</t>
        </is>
      </c>
      <c r="N103" s="16" t="inlineStr">
        <is>
          <t>RWD</t>
        </is>
      </c>
      <c r="O103" s="16" t="inlineStr">
        <is>
          <t>47 MPGe / 18 Comb</t>
        </is>
      </c>
      <c r="P103" s="16" t="inlineStr">
        <is>
          <t>8</t>
        </is>
      </c>
      <c r="Q103" s="22" t="n">
        <v>7.45</v>
      </c>
      <c r="R103" s="16" t="n">
        <v>2</v>
      </c>
      <c r="S103" s="22" t="n">
        <v>4.2</v>
      </c>
      <c r="T103" s="16" t="inlineStr">
        <is>
          <t>N/A</t>
        </is>
      </c>
      <c r="U103" s="23" t="inlineStr">
        <is>
          <t>10/10</t>
        </is>
      </c>
      <c r="V103" s="24" t="inlineStr">
        <is>
          <t xml:space="preserve"> • Superb real-world fuel economy
 • Smooth electric-gas power handover
 • No range anxiety on long trips</t>
        </is>
      </c>
      <c r="W103" s="25" t="inlineStr">
        <is>
          <t xml:space="preserve"> • Added curb weight from battery packs
 • Slightly compromised cargo space
 • eCVT engine flare during passing</t>
        </is>
      </c>
      <c r="X103" s="26" t="inlineStr">
        <is>
          <t>A finely engineered phev mid-engine supercar striking the optimal balance between high efficiency and long-distance practicality.</t>
        </is>
      </c>
      <c r="Y103" s="27" t="inlineStr">
        <is>
          <t>https://hips.hearstapps.com/hmg-prod/images/2026-ferrari-296-gtb.jpg</t>
        </is>
      </c>
      <c r="Z103" s="27" t="inlineStr">
        <is>
          <t>https://www.caranddriver.com/ferrari/296-gtb</t>
        </is>
      </c>
      <c r="AA103" s="17" t="inlineStr">
        <is>
          <t>Car and Driver Editors' Choice</t>
        </is>
      </c>
    </row>
    <row r="104" ht="48" customHeight="1">
      <c r="A104" s="4" t="n">
        <v>2026</v>
      </c>
      <c r="B104" s="5" t="inlineStr">
        <is>
          <t>Ferrari</t>
        </is>
      </c>
      <c r="C104" s="5" t="inlineStr">
        <is>
          <t>SF90 XX Stradale</t>
        </is>
      </c>
      <c r="D104" s="5" t="inlineStr">
        <is>
          <t>Coupe</t>
        </is>
      </c>
      <c r="E104" s="5" t="inlineStr">
        <is>
          <t>Hypercar</t>
        </is>
      </c>
      <c r="F104" s="5" t="inlineStr">
        <is>
          <t>PHEV</t>
        </is>
      </c>
      <c r="G104" s="6" t="n">
        <v>890000</v>
      </c>
      <c r="H104" s="7" t="n">
        <v>1016</v>
      </c>
      <c r="I104" s="7" t="n">
        <v>593</v>
      </c>
      <c r="J104" s="5" t="inlineStr">
        <is>
          <t>4.0L Twin-Turbo V8 + 3 Motors</t>
        </is>
      </c>
      <c r="K104" s="8" t="n">
        <v>4</v>
      </c>
      <c r="L104" s="4" t="n">
        <v>8</v>
      </c>
      <c r="M104" s="5" t="inlineStr">
        <is>
          <t>8-Speed Dual-Clutch</t>
        </is>
      </c>
      <c r="N104" s="4" t="inlineStr">
        <is>
          <t>AWD</t>
        </is>
      </c>
      <c r="O104" s="4" t="inlineStr">
        <is>
          <t>18 MPGe</t>
        </is>
      </c>
      <c r="P104" s="4" t="inlineStr">
        <is>
          <t>7</t>
        </is>
      </c>
      <c r="Q104" s="10" t="n">
        <v>7.9</v>
      </c>
      <c r="R104" s="4" t="n">
        <v>2</v>
      </c>
      <c r="S104" s="10" t="n">
        <v>2.6</v>
      </c>
      <c r="T104" s="4" t="inlineStr">
        <is>
          <t>N/A</t>
        </is>
      </c>
      <c r="U104" s="29" t="inlineStr">
        <is>
          <t>10/10</t>
        </is>
      </c>
      <c r="V104" s="12" t="inlineStr">
        <is>
          <t xml:space="preserve"> • Superb real-world fuel economy
 • Smooth electric-gas power handover
 • No range anxiety on long trips</t>
        </is>
      </c>
      <c r="W104" s="13" t="inlineStr">
        <is>
          <t xml:space="preserve"> • Added curb weight from battery packs
 • Slightly compromised cargo space
 • eCVT engine flare during passing</t>
        </is>
      </c>
      <c r="X104" s="14" t="inlineStr">
        <is>
          <t>A finely engineered phev hypercar striking the optimal balance between high efficiency and long-distance practicality.</t>
        </is>
      </c>
      <c r="Y104" s="15" t="inlineStr">
        <is>
          <t>https://hips.hearstapps.com/hmg-prod/images/2026-ferrari-sf90-xx-stradale.jpg</t>
        </is>
      </c>
      <c r="Z104" s="15" t="inlineStr">
        <is>
          <t>https://www.caranddriver.com/ferrari/sf90-stradale</t>
        </is>
      </c>
      <c r="AA104" s="5" t="inlineStr">
        <is>
          <t>Car and Driver Tested</t>
        </is>
      </c>
    </row>
    <row r="105" ht="48" customHeight="1">
      <c r="A105" s="16" t="n">
        <v>2026</v>
      </c>
      <c r="B105" s="17" t="inlineStr">
        <is>
          <t>Ferrari</t>
        </is>
      </c>
      <c r="C105" s="17" t="inlineStr">
        <is>
          <t>Roma</t>
        </is>
      </c>
      <c r="D105" s="17" t="inlineStr">
        <is>
          <t>Spider</t>
        </is>
      </c>
      <c r="E105" s="17" t="inlineStr">
        <is>
          <t>Front-Engine Grand Tourer</t>
        </is>
      </c>
      <c r="F105" s="17" t="inlineStr">
        <is>
          <t>Gasoline</t>
        </is>
      </c>
      <c r="G105" s="18" t="n">
        <v>277000</v>
      </c>
      <c r="H105" s="19" t="n">
        <v>612</v>
      </c>
      <c r="I105" s="19" t="n">
        <v>561</v>
      </c>
      <c r="J105" s="17" t="inlineStr">
        <is>
          <t>3.9L Twin-Turbo V8</t>
        </is>
      </c>
      <c r="K105" s="20" t="n">
        <v>3.9</v>
      </c>
      <c r="L105" s="16" t="n">
        <v>8</v>
      </c>
      <c r="M105" s="17" t="inlineStr">
        <is>
          <t>8-Speed Dual-Clutch</t>
        </is>
      </c>
      <c r="N105" s="16" t="inlineStr">
        <is>
          <t>RWD</t>
        </is>
      </c>
      <c r="O105" s="16" t="inlineStr">
        <is>
          <t>19 (17/22)</t>
        </is>
      </c>
      <c r="P105" s="16" t="inlineStr">
        <is>
          <t>N/A</t>
        </is>
      </c>
      <c r="Q105" s="21" t="inlineStr">
        <is>
          <t>N/A</t>
        </is>
      </c>
      <c r="R105" s="16" t="n">
        <v>4</v>
      </c>
      <c r="S105" s="22" t="n">
        <v>9</v>
      </c>
      <c r="T105" s="16" t="inlineStr">
        <is>
          <t>N/A</t>
        </is>
      </c>
      <c r="U105" s="23" t="inlineStr">
        <is>
          <t>9.5/10</t>
        </is>
      </c>
      <c r="V105" s="24" t="inlineStr">
        <is>
          <t xml:space="preserve"> • Refined performance and chassis poise
 • Comfortable ergonomic cabin
 • Comprehensive safety suite</t>
        </is>
      </c>
      <c r="W105" s="25" t="inlineStr">
        <is>
          <t xml:space="preserve"> • Firm ride on optional large wheels
 • Option packages add up quickly
 • Infotainment learning curve</t>
        </is>
      </c>
      <c r="X105" s="26" t="inlineStr">
        <is>
          <t>A solid, well-rounded contender in the US front-engine grand tourer class with competitive dynamics.</t>
        </is>
      </c>
      <c r="Y105" s="27" t="inlineStr">
        <is>
          <t>https://hips.hearstapps.com/hmg-prod/images/2026-ferrari-roma.jpg</t>
        </is>
      </c>
      <c r="Z105" s="27" t="inlineStr">
        <is>
          <t>https://www.caranddriver.com/ferrari/roma</t>
        </is>
      </c>
      <c r="AA105" s="17" t="inlineStr">
        <is>
          <t>Car and Driver Review</t>
        </is>
      </c>
    </row>
    <row r="106" ht="48" customHeight="1">
      <c r="A106" s="4" t="n">
        <v>2026</v>
      </c>
      <c r="B106" s="5" t="inlineStr">
        <is>
          <t>Ferrari</t>
        </is>
      </c>
      <c r="C106" s="5" t="inlineStr">
        <is>
          <t>12Cilindri</t>
        </is>
      </c>
      <c r="D106" s="5" t="inlineStr">
        <is>
          <t>Coupe Base</t>
        </is>
      </c>
      <c r="E106" s="5" t="inlineStr">
        <is>
          <t>Front-Engine V12 Supercar</t>
        </is>
      </c>
      <c r="F106" s="5" t="inlineStr">
        <is>
          <t>Gasoline</t>
        </is>
      </c>
      <c r="G106" s="6" t="n">
        <v>460000</v>
      </c>
      <c r="H106" s="7" t="n">
        <v>819</v>
      </c>
      <c r="I106" s="7" t="n">
        <v>500</v>
      </c>
      <c r="J106" s="5" t="inlineStr">
        <is>
          <t>6.5L Naturally Aspirated V12</t>
        </is>
      </c>
      <c r="K106" s="8" t="n">
        <v>6.5</v>
      </c>
      <c r="L106" s="4" t="n">
        <v>12</v>
      </c>
      <c r="M106" s="5" t="inlineStr">
        <is>
          <t>8-Speed Dual-Clutch</t>
        </is>
      </c>
      <c r="N106" s="4" t="inlineStr">
        <is>
          <t>RWD</t>
        </is>
      </c>
      <c r="O106" s="4" t="inlineStr">
        <is>
          <t>13 (11/17 Est)</t>
        </is>
      </c>
      <c r="P106" s="4" t="inlineStr">
        <is>
          <t>N/A</t>
        </is>
      </c>
      <c r="Q106" s="9" t="inlineStr">
        <is>
          <t>N/A</t>
        </is>
      </c>
      <c r="R106" s="4" t="n">
        <v>2</v>
      </c>
      <c r="S106" s="10" t="n">
        <v>9.5</v>
      </c>
      <c r="T106" s="4" t="inlineStr">
        <is>
          <t>N/A</t>
        </is>
      </c>
      <c r="U106" s="29" t="inlineStr">
        <is>
          <t>10/10</t>
        </is>
      </c>
      <c r="V106" s="12" t="inlineStr">
        <is>
          <t xml:space="preserve"> • Refined performance and chassis poise
 • Comfortable ergonomic cabin
 • Comprehensive safety suite</t>
        </is>
      </c>
      <c r="W106" s="13" t="inlineStr">
        <is>
          <t xml:space="preserve"> • Firm ride on optional large wheels
 • Option packages add up quickly
 • Infotainment learning curve</t>
        </is>
      </c>
      <c r="X106" s="14" t="inlineStr">
        <is>
          <t>A solid, well-rounded contender in the US front-engine v12 supercar class with competitive dynamics.</t>
        </is>
      </c>
      <c r="Y106" s="15" t="inlineStr">
        <is>
          <t>https://hips.hearstapps.com/hmg-prod/images/2026-ferrari-12cilindri.jpg</t>
        </is>
      </c>
      <c r="Z106" s="15" t="inlineStr">
        <is>
          <t>https://www.caranddriver.com/ferrari/12cilindri</t>
        </is>
      </c>
      <c r="AA106" s="5" t="inlineStr">
        <is>
          <t>Car and Driver First Look</t>
        </is>
      </c>
    </row>
    <row r="107" ht="48" customHeight="1">
      <c r="A107" s="16" t="n">
        <v>2026</v>
      </c>
      <c r="B107" s="17" t="inlineStr">
        <is>
          <t>Ferrari</t>
        </is>
      </c>
      <c r="C107" s="17" t="inlineStr">
        <is>
          <t>Purosangue</t>
        </is>
      </c>
      <c r="D107" s="17" t="inlineStr">
        <is>
          <t>Base 4WD</t>
        </is>
      </c>
      <c r="E107" s="17" t="inlineStr">
        <is>
          <t>Ultra-Luxury Super SUV</t>
        </is>
      </c>
      <c r="F107" s="17" t="inlineStr">
        <is>
          <t>Gasoline</t>
        </is>
      </c>
      <c r="G107" s="18" t="n">
        <v>400000</v>
      </c>
      <c r="H107" s="19" t="n">
        <v>715</v>
      </c>
      <c r="I107" s="19" t="n">
        <v>528</v>
      </c>
      <c r="J107" s="17" t="inlineStr">
        <is>
          <t>6.5L Naturally Aspirated V12</t>
        </is>
      </c>
      <c r="K107" s="20" t="n">
        <v>6.5</v>
      </c>
      <c r="L107" s="16" t="n">
        <v>12</v>
      </c>
      <c r="M107" s="17" t="inlineStr">
        <is>
          <t>8-Speed Dual-Clutch</t>
        </is>
      </c>
      <c r="N107" s="16" t="inlineStr">
        <is>
          <t>4WD</t>
        </is>
      </c>
      <c r="O107" s="16" t="inlineStr">
        <is>
          <t>12 (11/15)</t>
        </is>
      </c>
      <c r="P107" s="16" t="inlineStr">
        <is>
          <t>N/A</t>
        </is>
      </c>
      <c r="Q107" s="21" t="inlineStr">
        <is>
          <t>N/A</t>
        </is>
      </c>
      <c r="R107" s="16" t="n">
        <v>4</v>
      </c>
      <c r="S107" s="22" t="n">
        <v>16.7</v>
      </c>
      <c r="T107" s="16" t="inlineStr">
        <is>
          <t>N/A</t>
        </is>
      </c>
      <c r="U107" s="23" t="inlineStr">
        <is>
          <t>9.5/10</t>
        </is>
      </c>
      <c r="V107" s="24" t="inlineStr">
        <is>
          <t xml:space="preserve"> • Spacious passenger and cargo room
 • Commanding elevated driving position
 • Confidence-inspiring all-weather grip</t>
        </is>
      </c>
      <c r="W107" s="25" t="inlineStr">
        <is>
          <t xml:space="preserve"> • Higher center of gravity than sedans
 • Fuel consumption under heavy load
 • Less engaging steering feel</t>
        </is>
      </c>
      <c r="X107" s="26" t="inlineStr">
        <is>
          <t>A highly versatile ultra-luxury super suv that delivers generous space, modern safety tech, and daily utility.</t>
        </is>
      </c>
      <c r="Y107" s="27" t="inlineStr">
        <is>
          <t>https://hips.hearstapps.com/hmg-prod/images/2026-ferrari-purosangue.jpg</t>
        </is>
      </c>
      <c r="Z107" s="27" t="inlineStr">
        <is>
          <t>https://www.caranddriver.com/ferrari/purosangue</t>
        </is>
      </c>
      <c r="AA107" s="17" t="inlineStr">
        <is>
          <t>Car and Driver First Drive</t>
        </is>
      </c>
    </row>
    <row r="108" ht="48" customHeight="1">
      <c r="A108" s="4" t="n">
        <v>2026</v>
      </c>
      <c r="B108" s="5" t="inlineStr">
        <is>
          <t>Fiat</t>
        </is>
      </c>
      <c r="C108" s="5" t="inlineStr">
        <is>
          <t>500e</t>
        </is>
      </c>
      <c r="D108" s="5" t="inlineStr">
        <is>
          <t>Inspire By Beauty</t>
        </is>
      </c>
      <c r="E108" s="5" t="inlineStr">
        <is>
          <t>Subcompact Urban EV</t>
        </is>
      </c>
      <c r="F108" s="5" t="inlineStr">
        <is>
          <t>Electric</t>
        </is>
      </c>
      <c r="G108" s="6" t="n">
        <v>34000</v>
      </c>
      <c r="H108" s="7" t="n">
        <v>117</v>
      </c>
      <c r="I108" s="7" t="n">
        <v>162</v>
      </c>
      <c r="J108" s="5" t="inlineStr">
        <is>
          <t>Front Electric Motor</t>
        </is>
      </c>
      <c r="K108" s="4" t="inlineStr">
        <is>
          <t>N/A</t>
        </is>
      </c>
      <c r="L108" s="4" t="n">
        <v>0</v>
      </c>
      <c r="M108" s="5" t="inlineStr">
        <is>
          <t>1-Speed Direct</t>
        </is>
      </c>
      <c r="N108" s="4" t="inlineStr">
        <is>
          <t>FWD</t>
        </is>
      </c>
      <c r="O108" s="4" t="inlineStr">
        <is>
          <t>116 MPGe</t>
        </is>
      </c>
      <c r="P108" s="4" t="inlineStr">
        <is>
          <t>149</t>
        </is>
      </c>
      <c r="Q108" s="10" t="n">
        <v>42</v>
      </c>
      <c r="R108" s="4" t="n">
        <v>4</v>
      </c>
      <c r="S108" s="10" t="n">
        <v>7.5</v>
      </c>
      <c r="T108" s="4" t="inlineStr">
        <is>
          <t>N/A</t>
        </is>
      </c>
      <c r="U108" s="11" t="inlineStr">
        <is>
          <t>7.5/10</t>
        </is>
      </c>
      <c r="V108" s="12" t="inlineStr">
        <is>
          <t xml:space="preserve"> • Silent, instantaneous acceleration
 • Low center of gravity enhances stability
 • Zero tailpipe emissions</t>
        </is>
      </c>
      <c r="W108" s="13" t="inlineStr">
        <is>
          <t xml:space="preserve"> • Highway range drops at sustained speed
 • Public charging network variability
 • Pricier initial purchase cost</t>
        </is>
      </c>
      <c r="X108" s="14" t="inlineStr">
        <is>
          <t>A compelling electric entry in the subcompact urban ev segment offering smooth power delivery and advanced tech.</t>
        </is>
      </c>
      <c r="Y108" s="15" t="inlineStr">
        <is>
          <t>https://hips.hearstapps.com/hmg-prod/images/2026-fiat-500e.jpg</t>
        </is>
      </c>
      <c r="Z108" s="15" t="inlineStr">
        <is>
          <t>https://www.caranddriver.com/fiat/500e</t>
        </is>
      </c>
      <c r="AA108" s="5" t="inlineStr">
        <is>
          <t>Car and Driver Buyer's Guide</t>
        </is>
      </c>
    </row>
    <row r="109" ht="48" customHeight="1">
      <c r="A109" s="16" t="n">
        <v>2026</v>
      </c>
      <c r="B109" s="17" t="inlineStr">
        <is>
          <t>Ford</t>
        </is>
      </c>
      <c r="C109" s="17" t="inlineStr">
        <is>
          <t>Maverick</t>
        </is>
      </c>
      <c r="D109" s="17" t="inlineStr">
        <is>
          <t>XLT Hybrid AWD</t>
        </is>
      </c>
      <c r="E109" s="17" t="inlineStr">
        <is>
          <t>Compact Pickup</t>
        </is>
      </c>
      <c r="F109" s="17" t="inlineStr">
        <is>
          <t>Gas-Electric Hybrid</t>
        </is>
      </c>
      <c r="G109" s="18" t="n">
        <v>29495</v>
      </c>
      <c r="H109" s="19" t="n">
        <v>191</v>
      </c>
      <c r="I109" s="19" t="n">
        <v>155</v>
      </c>
      <c r="J109" s="17" t="inlineStr">
        <is>
          <t>2.5L Atkinson I4 + Motor</t>
        </is>
      </c>
      <c r="K109" s="20" t="n">
        <v>2.5</v>
      </c>
      <c r="L109" s="16" t="n">
        <v>4</v>
      </c>
      <c r="M109" s="17" t="inlineStr">
        <is>
          <t>eCVT</t>
        </is>
      </c>
      <c r="N109" s="16" t="inlineStr">
        <is>
          <t>AWD</t>
        </is>
      </c>
      <c r="O109" s="16" t="inlineStr">
        <is>
          <t>40 (42/37)</t>
        </is>
      </c>
      <c r="P109" s="16" t="inlineStr">
        <is>
          <t>N/A</t>
        </is>
      </c>
      <c r="Q109" s="22" t="n">
        <v>1.1</v>
      </c>
      <c r="R109" s="16" t="n">
        <v>5</v>
      </c>
      <c r="S109" s="22" t="n">
        <v>33.3</v>
      </c>
      <c r="T109" s="19" t="n">
        <v>4000</v>
      </c>
      <c r="U109" s="23" t="inlineStr">
        <is>
          <t>10/10</t>
        </is>
      </c>
      <c r="V109" s="24" t="inlineStr">
        <is>
          <t xml:space="preserve"> • Superb real-world fuel economy
 • Smooth electric-gas power handover
 • No range anxiety on long trips</t>
        </is>
      </c>
      <c r="W109" s="25" t="inlineStr">
        <is>
          <t xml:space="preserve"> • Added curb weight from battery packs
 • Slightly compromised cargo space
 • eCVT engine flare during passing</t>
        </is>
      </c>
      <c r="X109" s="26" t="inlineStr">
        <is>
          <t>A finely engineered gas-electric hybrid compact pickup striking the optimal balance between high efficiency and long-distance practicality.</t>
        </is>
      </c>
      <c r="Y109" s="27" t="inlineStr">
        <is>
          <t>https://hips.hearstapps.com/hmg-prod/images/2026-ford-maverick.jpg</t>
        </is>
      </c>
      <c r="Z109" s="27" t="inlineStr">
        <is>
          <t>https://www.caranddriver.com/ford/maverick</t>
        </is>
      </c>
      <c r="AA109" s="17" t="inlineStr">
        <is>
          <t>Car and Driver 10Best Winner</t>
        </is>
      </c>
    </row>
    <row r="110" ht="48" customHeight="1">
      <c r="A110" s="4" t="n">
        <v>2026</v>
      </c>
      <c r="B110" s="5" t="inlineStr">
        <is>
          <t>Ford</t>
        </is>
      </c>
      <c r="C110" s="5" t="inlineStr">
        <is>
          <t>Ranger</t>
        </is>
      </c>
      <c r="D110" s="5" t="inlineStr">
        <is>
          <t>Lariat FX4</t>
        </is>
      </c>
      <c r="E110" s="5" t="inlineStr">
        <is>
          <t>Mid-Size Pickup</t>
        </is>
      </c>
      <c r="F110" s="5" t="inlineStr">
        <is>
          <t>Gasoline</t>
        </is>
      </c>
      <c r="G110" s="6" t="n">
        <v>45000</v>
      </c>
      <c r="H110" s="7" t="n">
        <v>315</v>
      </c>
      <c r="I110" s="7" t="n">
        <v>400</v>
      </c>
      <c r="J110" s="5" t="inlineStr">
        <is>
          <t>2.7L EcoBoost Twin-Turbo V6</t>
        </is>
      </c>
      <c r="K110" s="8" t="n">
        <v>2.7</v>
      </c>
      <c r="L110" s="4" t="n">
        <v>6</v>
      </c>
      <c r="M110" s="5" t="inlineStr">
        <is>
          <t>10-Speed Auto</t>
        </is>
      </c>
      <c r="N110" s="4" t="inlineStr">
        <is>
          <t>4WD</t>
        </is>
      </c>
      <c r="O110" s="4" t="inlineStr">
        <is>
          <t>20 (19/23)</t>
        </is>
      </c>
      <c r="P110" s="4" t="inlineStr">
        <is>
          <t>N/A</t>
        </is>
      </c>
      <c r="Q110" s="9" t="inlineStr">
        <is>
          <t>N/A</t>
        </is>
      </c>
      <c r="R110" s="4" t="n">
        <v>5</v>
      </c>
      <c r="S110" s="10" t="n">
        <v>43.5</v>
      </c>
      <c r="T110" s="7" t="n">
        <v>7500</v>
      </c>
      <c r="U110" s="11" t="inlineStr">
        <is>
          <t>8.5/10</t>
        </is>
      </c>
      <c r="V110" s="12" t="inlineStr">
        <is>
          <t xml:space="preserve"> • Robust payload and towing capabilities
 • Durable bed and tailgate features
 • High ground clearance</t>
        </is>
      </c>
      <c r="W110" s="13" t="inlineStr">
        <is>
          <t xml:space="preserve"> • Stiffer unladen ride quality
 • Challenging to park in urban garages
 • Higher fuel costs</t>
        </is>
      </c>
      <c r="X110" s="14" t="inlineStr">
        <is>
          <t>A capable and rugged mid-size pickup designed for serious work duty, hauling, and outdoor recreation.</t>
        </is>
      </c>
      <c r="Y110" s="15" t="inlineStr">
        <is>
          <t>https://hips.hearstapps.com/hmg-prod/images/2026-ford-ranger.jpg</t>
        </is>
      </c>
      <c r="Z110" s="15" t="inlineStr">
        <is>
          <t>https://www.caranddriver.com/ford/ranger</t>
        </is>
      </c>
      <c r="AA110" s="5" t="inlineStr">
        <is>
          <t>Car and Driver Buyer's Guide</t>
        </is>
      </c>
    </row>
    <row r="111" ht="48" customHeight="1">
      <c r="A111" s="16" t="n">
        <v>2026</v>
      </c>
      <c r="B111" s="17" t="inlineStr">
        <is>
          <t>Ford</t>
        </is>
      </c>
      <c r="C111" s="17" t="inlineStr">
        <is>
          <t>Ranger</t>
        </is>
      </c>
      <c r="D111" s="17" t="inlineStr">
        <is>
          <t>Raptor Crew Cab 4WD</t>
        </is>
      </c>
      <c r="E111" s="17" t="inlineStr">
        <is>
          <t>Off-Road Desert Pre-Runner</t>
        </is>
      </c>
      <c r="F111" s="17" t="inlineStr">
        <is>
          <t>Gasoline</t>
        </is>
      </c>
      <c r="G111" s="18" t="n">
        <v>57215</v>
      </c>
      <c r="H111" s="19" t="n">
        <v>405</v>
      </c>
      <c r="I111" s="19" t="n">
        <v>430</v>
      </c>
      <c r="J111" s="17" t="inlineStr">
        <is>
          <t>3.0L EcoBoost Twin-Turbo V6</t>
        </is>
      </c>
      <c r="K111" s="20" t="n">
        <v>3</v>
      </c>
      <c r="L111" s="16" t="n">
        <v>6</v>
      </c>
      <c r="M111" s="17" t="inlineStr">
        <is>
          <t>10-Speed Auto</t>
        </is>
      </c>
      <c r="N111" s="16" t="inlineStr">
        <is>
          <t>4WD w/ Lockers</t>
        </is>
      </c>
      <c r="O111" s="16" t="inlineStr">
        <is>
          <t>17 (16/18)</t>
        </is>
      </c>
      <c r="P111" s="16" t="inlineStr">
        <is>
          <t>N/A</t>
        </is>
      </c>
      <c r="Q111" s="21" t="inlineStr">
        <is>
          <t>N/A</t>
        </is>
      </c>
      <c r="R111" s="16" t="n">
        <v>5</v>
      </c>
      <c r="S111" s="22" t="n">
        <v>43.5</v>
      </c>
      <c r="T111" s="19" t="n">
        <v>5510</v>
      </c>
      <c r="U111" s="23" t="inlineStr">
        <is>
          <t>10/10</t>
        </is>
      </c>
      <c r="V111" s="24" t="inlineStr">
        <is>
          <t xml:space="preserve"> • Refined performance and chassis poise
 • Comfortable ergonomic cabin
 • Comprehensive safety suite</t>
        </is>
      </c>
      <c r="W111" s="25" t="inlineStr">
        <is>
          <t xml:space="preserve"> • Firm ride on optional large wheels
 • Option packages add up quickly
 • Infotainment learning curve</t>
        </is>
      </c>
      <c r="X111" s="26" t="inlineStr">
        <is>
          <t>A solid, well-rounded contender in the US off-road desert pre-runner class with competitive dynamics.</t>
        </is>
      </c>
      <c r="Y111" s="27" t="inlineStr">
        <is>
          <t>https://hips.hearstapps.com/hmg-prod/images/2026-ford-ranger.jpg</t>
        </is>
      </c>
      <c r="Z111" s="27" t="inlineStr">
        <is>
          <t>https://www.caranddriver.com/ford/ranger-raptor</t>
        </is>
      </c>
      <c r="AA111" s="17" t="inlineStr">
        <is>
          <t>Car and Driver 10Best Winner</t>
        </is>
      </c>
    </row>
    <row r="112" ht="48" customHeight="1">
      <c r="A112" s="4" t="n">
        <v>2026</v>
      </c>
      <c r="B112" s="5" t="inlineStr">
        <is>
          <t>Ford</t>
        </is>
      </c>
      <c r="C112" s="5" t="inlineStr">
        <is>
          <t>F-150</t>
        </is>
      </c>
      <c r="D112" s="5" t="inlineStr">
        <is>
          <t>XLT SuperCrew 4x4</t>
        </is>
      </c>
      <c r="E112" s="5" t="inlineStr">
        <is>
          <t>Full-Size Pickup</t>
        </is>
      </c>
      <c r="F112" s="5" t="inlineStr">
        <is>
          <t>Gasoline</t>
        </is>
      </c>
      <c r="G112" s="6" t="n">
        <v>56100</v>
      </c>
      <c r="H112" s="7" t="n">
        <v>400</v>
      </c>
      <c r="I112" s="7" t="n">
        <v>500</v>
      </c>
      <c r="J112" s="5" t="inlineStr">
        <is>
          <t>3.5L EcoBoost Twin-Turbo V6</t>
        </is>
      </c>
      <c r="K112" s="8" t="n">
        <v>3.5</v>
      </c>
      <c r="L112" s="4" t="n">
        <v>6</v>
      </c>
      <c r="M112" s="5" t="inlineStr">
        <is>
          <t>10-Speed Auto</t>
        </is>
      </c>
      <c r="N112" s="4" t="inlineStr">
        <is>
          <t>4WD</t>
        </is>
      </c>
      <c r="O112" s="4" t="inlineStr">
        <is>
          <t>19 (17/23)</t>
        </is>
      </c>
      <c r="P112" s="4" t="inlineStr">
        <is>
          <t>N/A</t>
        </is>
      </c>
      <c r="Q112" s="9" t="inlineStr">
        <is>
          <t>N/A</t>
        </is>
      </c>
      <c r="R112" s="4" t="n">
        <v>5</v>
      </c>
      <c r="S112" s="10" t="n">
        <v>52.8</v>
      </c>
      <c r="T112" s="7" t="n">
        <v>13500</v>
      </c>
      <c r="U112" s="11" t="inlineStr">
        <is>
          <t>9.0/10</t>
        </is>
      </c>
      <c r="V112" s="12" t="inlineStr">
        <is>
          <t xml:space="preserve"> • Class-leading towing and hauling brawn
 • Palatial crew cab seating and storage
 • Intuitive cabin switchgear</t>
        </is>
      </c>
      <c r="W112" s="13" t="inlineStr">
        <is>
          <t xml:space="preserve"> • Large exterior dimensions in tight parking
 • Thirsty when loaded
 • Top trims push into luxury car pricing</t>
        </is>
      </c>
      <c r="X112" s="14" t="inlineStr">
        <is>
          <t>The backbone of American transportation, offering effortless hauling capability and luxury cabin appointments.</t>
        </is>
      </c>
      <c r="Y112" s="15" t="inlineStr">
        <is>
          <t>https://hips.hearstapps.com/hmg-prod/images/2026-ford-f-150.jpg</t>
        </is>
      </c>
      <c r="Z112" s="15" t="inlineStr">
        <is>
          <t>https://www.caranddriver.com/ford/f-150</t>
        </is>
      </c>
      <c r="AA112" s="5" t="inlineStr">
        <is>
          <t>Car and Driver Buyer's Guide</t>
        </is>
      </c>
    </row>
    <row r="113" ht="48" customHeight="1">
      <c r="A113" s="16" t="n">
        <v>2026</v>
      </c>
      <c r="B113" s="17" t="inlineStr">
        <is>
          <t>Ford</t>
        </is>
      </c>
      <c r="C113" s="17" t="inlineStr">
        <is>
          <t>F-150</t>
        </is>
      </c>
      <c r="D113" s="17" t="inlineStr">
        <is>
          <t>PowerBoost Hybrid Lariat</t>
        </is>
      </c>
      <c r="E113" s="17" t="inlineStr">
        <is>
          <t>Full-Size Hybrid Pickup</t>
        </is>
      </c>
      <c r="F113" s="17" t="inlineStr">
        <is>
          <t>Gas-Electric Hybrid</t>
        </is>
      </c>
      <c r="G113" s="18" t="n">
        <v>67000</v>
      </c>
      <c r="H113" s="19" t="n">
        <v>430</v>
      </c>
      <c r="I113" s="19" t="n">
        <v>570</v>
      </c>
      <c r="J113" s="17" t="inlineStr">
        <is>
          <t>3.5L EcoBoost V6 + Motor</t>
        </is>
      </c>
      <c r="K113" s="20" t="n">
        <v>3.5</v>
      </c>
      <c r="L113" s="16" t="n">
        <v>6</v>
      </c>
      <c r="M113" s="17" t="inlineStr">
        <is>
          <t>10-Speed Auto</t>
        </is>
      </c>
      <c r="N113" s="16" t="inlineStr">
        <is>
          <t>4WD</t>
        </is>
      </c>
      <c r="O113" s="16" t="inlineStr">
        <is>
          <t>23 (23/24)</t>
        </is>
      </c>
      <c r="P113" s="16" t="inlineStr">
        <is>
          <t>N/A</t>
        </is>
      </c>
      <c r="Q113" s="22" t="n">
        <v>1.5</v>
      </c>
      <c r="R113" s="16" t="n">
        <v>5</v>
      </c>
      <c r="S113" s="22" t="n">
        <v>52.8</v>
      </c>
      <c r="T113" s="19" t="n">
        <v>12700</v>
      </c>
      <c r="U113" s="28" t="inlineStr">
        <is>
          <t>9.0/10</t>
        </is>
      </c>
      <c r="V113" s="24" t="inlineStr">
        <is>
          <t xml:space="preserve"> • Massive instant electric torque
 • Innovative front frunk storage
 • Vehicle-to-home export power</t>
        </is>
      </c>
      <c r="W113" s="25" t="inlineStr">
        <is>
          <t xml:space="preserve"> • Significant range reduction while towing
 • DC fast-charging infrastructure bottlenecks
 • Heavy curb weight</t>
        </is>
      </c>
      <c r="X113" s="26" t="inlineStr">
        <is>
          <t>Revolutionary electric utility that transforms work sites and family travel when towing demands are modest.</t>
        </is>
      </c>
      <c r="Y113" s="27" t="inlineStr">
        <is>
          <t>https://hips.hearstapps.com/hmg-prod/images/2026-ford-f-150.jpg</t>
        </is>
      </c>
      <c r="Z113" s="27" t="inlineStr">
        <is>
          <t>https://www.caranddriver.com/ford/f-150</t>
        </is>
      </c>
      <c r="AA113" s="17" t="inlineStr">
        <is>
          <t>Car and Driver Buyer's Guide</t>
        </is>
      </c>
    </row>
    <row r="114" ht="48" customHeight="1">
      <c r="A114" s="4" t="n">
        <v>2026</v>
      </c>
      <c r="B114" s="5" t="inlineStr">
        <is>
          <t>Ford</t>
        </is>
      </c>
      <c r="C114" s="5" t="inlineStr">
        <is>
          <t>F-150</t>
        </is>
      </c>
      <c r="D114" s="5" t="inlineStr">
        <is>
          <t>Tremor 4WD</t>
        </is>
      </c>
      <c r="E114" s="5" t="inlineStr">
        <is>
          <t>Off-Road Full-Size Truck</t>
        </is>
      </c>
      <c r="F114" s="5" t="inlineStr">
        <is>
          <t>Gasoline</t>
        </is>
      </c>
      <c r="G114" s="6" t="n">
        <v>66000</v>
      </c>
      <c r="H114" s="7" t="n">
        <v>400</v>
      </c>
      <c r="I114" s="7" t="n">
        <v>500</v>
      </c>
      <c r="J114" s="5" t="inlineStr">
        <is>
          <t>3.5L EcoBoost Twin-Turbo V6</t>
        </is>
      </c>
      <c r="K114" s="8" t="n">
        <v>3.5</v>
      </c>
      <c r="L114" s="4" t="n">
        <v>6</v>
      </c>
      <c r="M114" s="5" t="inlineStr">
        <is>
          <t>10-Speed Auto</t>
        </is>
      </c>
      <c r="N114" s="4" t="inlineStr">
        <is>
          <t>4WD</t>
        </is>
      </c>
      <c r="O114" s="4" t="inlineStr">
        <is>
          <t>17 (16/19)</t>
        </is>
      </c>
      <c r="P114" s="4" t="inlineStr">
        <is>
          <t>N/A</t>
        </is>
      </c>
      <c r="Q114" s="9" t="inlineStr">
        <is>
          <t>N/A</t>
        </is>
      </c>
      <c r="R114" s="4" t="n">
        <v>5</v>
      </c>
      <c r="S114" s="10" t="n">
        <v>52.8</v>
      </c>
      <c r="T114" s="7" t="n">
        <v>10900</v>
      </c>
      <c r="U114" s="11" t="inlineStr">
        <is>
          <t>9.0/10</t>
        </is>
      </c>
      <c r="V114" s="12" t="inlineStr">
        <is>
          <t xml:space="preserve"> • Class-leading towing and hauling brawn
 • Palatial crew cab seating and storage
 • Intuitive cabin switchgear</t>
        </is>
      </c>
      <c r="W114" s="13" t="inlineStr">
        <is>
          <t xml:space="preserve"> • Large exterior dimensions in tight parking
 • Thirsty when loaded
 • Top trims push into luxury car pricing</t>
        </is>
      </c>
      <c r="X114" s="14" t="inlineStr">
        <is>
          <t>The backbone of American transportation, offering effortless hauling capability and luxury cabin appointments.</t>
        </is>
      </c>
      <c r="Y114" s="15" t="inlineStr">
        <is>
          <t>https://hips.hearstapps.com/hmg-prod/images/2026-ford-f-150.jpg</t>
        </is>
      </c>
      <c r="Z114" s="15" t="inlineStr">
        <is>
          <t>https://www.caranddriver.com/ford/f-150</t>
        </is>
      </c>
      <c r="AA114" s="5" t="inlineStr">
        <is>
          <t>Car and Driver Buyer's Guide</t>
        </is>
      </c>
    </row>
    <row r="115" ht="48" customHeight="1">
      <c r="A115" s="16" t="n">
        <v>2026</v>
      </c>
      <c r="B115" s="17" t="inlineStr">
        <is>
          <t>Ford</t>
        </is>
      </c>
      <c r="C115" s="17" t="inlineStr">
        <is>
          <t>F-150</t>
        </is>
      </c>
      <c r="D115" s="17" t="inlineStr">
        <is>
          <t>Raptor 4WD</t>
        </is>
      </c>
      <c r="E115" s="17" t="inlineStr">
        <is>
          <t>Desert Off-Road Truck</t>
        </is>
      </c>
      <c r="F115" s="17" t="inlineStr">
        <is>
          <t>Gasoline</t>
        </is>
      </c>
      <c r="G115" s="18" t="n">
        <v>80000</v>
      </c>
      <c r="H115" s="19" t="n">
        <v>450</v>
      </c>
      <c r="I115" s="19" t="n">
        <v>510</v>
      </c>
      <c r="J115" s="17" t="inlineStr">
        <is>
          <t>3.5L High-Output EcoBoost V6</t>
        </is>
      </c>
      <c r="K115" s="20" t="n">
        <v>3.5</v>
      </c>
      <c r="L115" s="16" t="n">
        <v>6</v>
      </c>
      <c r="M115" s="17" t="inlineStr">
        <is>
          <t>10-Speed Auto</t>
        </is>
      </c>
      <c r="N115" s="16" t="inlineStr">
        <is>
          <t>4WD</t>
        </is>
      </c>
      <c r="O115" s="16" t="inlineStr">
        <is>
          <t>16 (15/18)</t>
        </is>
      </c>
      <c r="P115" s="16" t="inlineStr">
        <is>
          <t>N/A</t>
        </is>
      </c>
      <c r="Q115" s="21" t="inlineStr">
        <is>
          <t>N/A</t>
        </is>
      </c>
      <c r="R115" s="16" t="n">
        <v>5</v>
      </c>
      <c r="S115" s="22" t="n">
        <v>52.8</v>
      </c>
      <c r="T115" s="19" t="n">
        <v>8700</v>
      </c>
      <c r="U115" s="23" t="inlineStr">
        <is>
          <t>9.5/10</t>
        </is>
      </c>
      <c r="V115" s="24" t="inlineStr">
        <is>
          <t xml:space="preserve"> • Long-travel suspension absorbs severe terrain
 • Aggressive widebody stance
 • Authoritative exhaust roar</t>
        </is>
      </c>
      <c r="W115" s="25" t="inlineStr">
        <is>
          <t xml:space="preserve"> • Difficult to park in urban garages
 • Abysmal fuel economy
 • Eye-watering sticker prices</t>
        </is>
      </c>
      <c r="X115" s="26" t="inlineStr">
        <is>
          <t>Extreme off-road trucks built to dominate desert washes and rocky trails without flinching.</t>
        </is>
      </c>
      <c r="Y115" s="27" t="inlineStr">
        <is>
          <t>https://hips.hearstapps.com/hmg-prod/images/2026-ford-f-150.jpg</t>
        </is>
      </c>
      <c r="Z115" s="27" t="inlineStr">
        <is>
          <t>https://www.caranddriver.com/ford/f-150-raptor</t>
        </is>
      </c>
      <c r="AA115" s="17" t="inlineStr">
        <is>
          <t>Car and Driver Editors' Choice</t>
        </is>
      </c>
    </row>
    <row r="116" ht="48" customHeight="1">
      <c r="A116" s="4" t="n">
        <v>2026</v>
      </c>
      <c r="B116" s="5" t="inlineStr">
        <is>
          <t>Ford</t>
        </is>
      </c>
      <c r="C116" s="5" t="inlineStr">
        <is>
          <t>F-150</t>
        </is>
      </c>
      <c r="D116" s="5" t="inlineStr">
        <is>
          <t>Raptor R</t>
        </is>
      </c>
      <c r="E116" s="5" t="inlineStr">
        <is>
          <t>Super Off-Road Truck</t>
        </is>
      </c>
      <c r="F116" s="5" t="inlineStr">
        <is>
          <t>Gasoline</t>
        </is>
      </c>
      <c r="G116" s="6" t="n">
        <v>112000</v>
      </c>
      <c r="H116" s="7" t="n">
        <v>720</v>
      </c>
      <c r="I116" s="7" t="n">
        <v>640</v>
      </c>
      <c r="J116" s="5" t="inlineStr">
        <is>
          <t>5.2L Supercharged V8 (Predator)</t>
        </is>
      </c>
      <c r="K116" s="8" t="n">
        <v>5.2</v>
      </c>
      <c r="L116" s="4" t="n">
        <v>8</v>
      </c>
      <c r="M116" s="5" t="inlineStr">
        <is>
          <t>10-Speed Auto</t>
        </is>
      </c>
      <c r="N116" s="4" t="inlineStr">
        <is>
          <t>4WD</t>
        </is>
      </c>
      <c r="O116" s="4" t="inlineStr">
        <is>
          <t>12 (10/15)</t>
        </is>
      </c>
      <c r="P116" s="4" t="inlineStr">
        <is>
          <t>N/A</t>
        </is>
      </c>
      <c r="Q116" s="9" t="inlineStr">
        <is>
          <t>N/A</t>
        </is>
      </c>
      <c r="R116" s="4" t="n">
        <v>5</v>
      </c>
      <c r="S116" s="10" t="n">
        <v>52.8</v>
      </c>
      <c r="T116" s="7" t="n">
        <v>8700</v>
      </c>
      <c r="U116" s="29" t="inlineStr">
        <is>
          <t>9.5/10</t>
        </is>
      </c>
      <c r="V116" s="12" t="inlineStr">
        <is>
          <t xml:space="preserve"> • Long-travel suspension absorbs severe terrain
 • Aggressive widebody stance
 • Authoritative exhaust roar</t>
        </is>
      </c>
      <c r="W116" s="13" t="inlineStr">
        <is>
          <t xml:space="preserve"> • Difficult to park in urban garages
 • Abysmal fuel economy
 • Eye-watering sticker prices</t>
        </is>
      </c>
      <c r="X116" s="14" t="inlineStr">
        <is>
          <t>Extreme off-road trucks built to dominate desert washes and rocky trails without flinching.</t>
        </is>
      </c>
      <c r="Y116" s="15" t="inlineStr">
        <is>
          <t>https://hips.hearstapps.com/hmg-prod/images/2026-ford-f-150.jpg</t>
        </is>
      </c>
      <c r="Z116" s="15" t="inlineStr">
        <is>
          <t>https://www.caranddriver.com/ford/f-150-raptor</t>
        </is>
      </c>
      <c r="AA116" s="5" t="inlineStr">
        <is>
          <t>Car and Driver Editors' Choice</t>
        </is>
      </c>
    </row>
    <row r="117" ht="48" customHeight="1">
      <c r="A117" s="16" t="n">
        <v>2026</v>
      </c>
      <c r="B117" s="17" t="inlineStr">
        <is>
          <t>Ford</t>
        </is>
      </c>
      <c r="C117" s="17" t="inlineStr">
        <is>
          <t>F-150 Lightning</t>
        </is>
      </c>
      <c r="D117" s="17" t="inlineStr">
        <is>
          <t>Flash Extended Range</t>
        </is>
      </c>
      <c r="E117" s="17" t="inlineStr">
        <is>
          <t>Electric Full-Size Truck</t>
        </is>
      </c>
      <c r="F117" s="17" t="inlineStr">
        <is>
          <t>Electric</t>
        </is>
      </c>
      <c r="G117" s="18" t="n">
        <v>70000</v>
      </c>
      <c r="H117" s="19" t="n">
        <v>580</v>
      </c>
      <c r="I117" s="19" t="n">
        <v>775</v>
      </c>
      <c r="J117" s="17" t="inlineStr">
        <is>
          <t>Dual Electric Motors</t>
        </is>
      </c>
      <c r="K117" s="16" t="inlineStr">
        <is>
          <t>N/A</t>
        </is>
      </c>
      <c r="L117" s="16" t="n">
        <v>0</v>
      </c>
      <c r="M117" s="17" t="inlineStr">
        <is>
          <t>1-Speed Direct</t>
        </is>
      </c>
      <c r="N117" s="16" t="inlineStr">
        <is>
          <t>AWD</t>
        </is>
      </c>
      <c r="O117" s="16" t="inlineStr">
        <is>
          <t>70 MPGe</t>
        </is>
      </c>
      <c r="P117" s="16" t="inlineStr">
        <is>
          <t>320</t>
        </is>
      </c>
      <c r="Q117" s="22" t="n">
        <v>131</v>
      </c>
      <c r="R117" s="16" t="n">
        <v>5</v>
      </c>
      <c r="S117" s="22" t="n">
        <v>52.8</v>
      </c>
      <c r="T117" s="19" t="n">
        <v>10000</v>
      </c>
      <c r="U117" s="28" t="inlineStr">
        <is>
          <t>8.5/10</t>
        </is>
      </c>
      <c r="V117" s="24" t="inlineStr">
        <is>
          <t xml:space="preserve"> • Massive instant electric torque
 • Innovative front frunk storage
 • Vehicle-to-home export power</t>
        </is>
      </c>
      <c r="W117" s="25" t="inlineStr">
        <is>
          <t xml:space="preserve"> • Significant range reduction while towing
 • DC fast-charging infrastructure bottlenecks
 • Heavy curb weight</t>
        </is>
      </c>
      <c r="X117" s="26" t="inlineStr">
        <is>
          <t>Revolutionary electric utility that transforms work sites and family travel when towing demands are modest.</t>
        </is>
      </c>
      <c r="Y117" s="27" t="inlineStr">
        <is>
          <t>https://hips.hearstapps.com/hmg-prod/images/2026-ford-f-150-lightning.jpg</t>
        </is>
      </c>
      <c r="Z117" s="27" t="inlineStr">
        <is>
          <t>https://www.caranddriver.com/ford/f-150-lightning</t>
        </is>
      </c>
      <c r="AA117" s="17" t="inlineStr">
        <is>
          <t>Car and Driver Editors' Choice</t>
        </is>
      </c>
    </row>
    <row r="118" ht="48" customHeight="1">
      <c r="A118" s="4" t="n">
        <v>2026</v>
      </c>
      <c r="B118" s="5" t="inlineStr">
        <is>
          <t>Ford</t>
        </is>
      </c>
      <c r="C118" s="5" t="inlineStr">
        <is>
          <t>Super Duty F-250</t>
        </is>
      </c>
      <c r="D118" s="5" t="inlineStr">
        <is>
          <t>King Ranch Power Stroke</t>
        </is>
      </c>
      <c r="E118" s="5" t="inlineStr">
        <is>
          <t>Heavy-Duty Truck</t>
        </is>
      </c>
      <c r="F118" s="5" t="inlineStr">
        <is>
          <t>Gasoline</t>
        </is>
      </c>
      <c r="G118" s="6" t="n">
        <v>86000</v>
      </c>
      <c r="H118" s="7" t="n">
        <v>500</v>
      </c>
      <c r="I118" s="7" t="n">
        <v>1200</v>
      </c>
      <c r="J118" s="5" t="inlineStr">
        <is>
          <t>6.7L High-Output Turbo-Diesel V8</t>
        </is>
      </c>
      <c r="K118" s="8" t="n">
        <v>6.7</v>
      </c>
      <c r="L118" s="4" t="n">
        <v>8</v>
      </c>
      <c r="M118" s="5" t="inlineStr">
        <is>
          <t>10-Speed TorqShift Auto</t>
        </is>
      </c>
      <c r="N118" s="4" t="inlineStr">
        <is>
          <t>4WD</t>
        </is>
      </c>
      <c r="O118" s="4" t="inlineStr">
        <is>
          <t>14 (Est)</t>
        </is>
      </c>
      <c r="P118" s="4" t="inlineStr">
        <is>
          <t>N/A</t>
        </is>
      </c>
      <c r="Q118" s="9" t="inlineStr">
        <is>
          <t>N/A</t>
        </is>
      </c>
      <c r="R118" s="4" t="n">
        <v>5</v>
      </c>
      <c r="S118" s="10" t="n">
        <v>65.40000000000001</v>
      </c>
      <c r="T118" s="7" t="n">
        <v>22000</v>
      </c>
      <c r="U118" s="11" t="inlineStr">
        <is>
          <t>9.0/10</t>
        </is>
      </c>
      <c r="V118" s="12" t="inlineStr">
        <is>
          <t xml:space="preserve"> • Robust payload and towing capabilities
 • Durable bed and tailgate features
 • High ground clearance</t>
        </is>
      </c>
      <c r="W118" s="13" t="inlineStr">
        <is>
          <t xml:space="preserve"> • Stiffer unladen ride quality
 • Challenging to park in urban garages
 • Higher fuel costs</t>
        </is>
      </c>
      <c r="X118" s="14" t="inlineStr">
        <is>
          <t>A capable and rugged heavy-duty truck designed for serious work duty, hauling, and outdoor recreation.</t>
        </is>
      </c>
      <c r="Y118" s="15" t="inlineStr">
        <is>
          <t>https://hips.hearstapps.com/hmg-prod/images/2026-ford-super-duty-f-250.jpg</t>
        </is>
      </c>
      <c r="Z118" s="15" t="inlineStr">
        <is>
          <t>https://www.caranddriver.com/ford/f-250-super-duty</t>
        </is>
      </c>
      <c r="AA118" s="5" t="inlineStr">
        <is>
          <t>Car and Driver 10Best</t>
        </is>
      </c>
    </row>
    <row r="119" ht="48" customHeight="1">
      <c r="A119" s="16" t="n">
        <v>2026</v>
      </c>
      <c r="B119" s="17" t="inlineStr">
        <is>
          <t>Ford</t>
        </is>
      </c>
      <c r="C119" s="17" t="inlineStr">
        <is>
          <t>Mustang</t>
        </is>
      </c>
      <c r="D119" s="17" t="inlineStr">
        <is>
          <t>EcoBoost Premium</t>
        </is>
      </c>
      <c r="E119" s="17" t="inlineStr">
        <is>
          <t>Sport Coupe</t>
        </is>
      </c>
      <c r="F119" s="17" t="inlineStr">
        <is>
          <t>Gasoline</t>
        </is>
      </c>
      <c r="G119" s="18" t="n">
        <v>38000</v>
      </c>
      <c r="H119" s="19" t="n">
        <v>315</v>
      </c>
      <c r="I119" s="19" t="n">
        <v>350</v>
      </c>
      <c r="J119" s="17" t="inlineStr">
        <is>
          <t>2.3L EcoBoost Turbo I4</t>
        </is>
      </c>
      <c r="K119" s="20" t="n">
        <v>2.3</v>
      </c>
      <c r="L119" s="16" t="n">
        <v>4</v>
      </c>
      <c r="M119" s="17" t="inlineStr">
        <is>
          <t>10-Speed Auto</t>
        </is>
      </c>
      <c r="N119" s="16" t="inlineStr">
        <is>
          <t>RWD</t>
        </is>
      </c>
      <c r="O119" s="16" t="inlineStr">
        <is>
          <t>26 (22/33)</t>
        </is>
      </c>
      <c r="P119" s="16" t="inlineStr">
        <is>
          <t>N/A</t>
        </is>
      </c>
      <c r="Q119" s="21" t="inlineStr">
        <is>
          <t>N/A</t>
        </is>
      </c>
      <c r="R119" s="16" t="n">
        <v>4</v>
      </c>
      <c r="S119" s="22" t="n">
        <v>13.3</v>
      </c>
      <c r="T119" s="16" t="inlineStr">
        <is>
          <t>N/A</t>
        </is>
      </c>
      <c r="U119" s="28" t="inlineStr">
        <is>
          <t>8.5/10</t>
        </is>
      </c>
      <c r="V119" s="24" t="inlineStr">
        <is>
          <t xml:space="preserve"> • Refined performance and chassis poise
 • Comfortable ergonomic cabin
 • Comprehensive safety suite</t>
        </is>
      </c>
      <c r="W119" s="25" t="inlineStr">
        <is>
          <t xml:space="preserve"> • Firm ride on optional large wheels
 • Option packages add up quickly
 • Infotainment learning curve</t>
        </is>
      </c>
      <c r="X119" s="26" t="inlineStr">
        <is>
          <t>A solid, well-rounded contender in the US sport coupe class with competitive dynamics.</t>
        </is>
      </c>
      <c r="Y119" s="27" t="inlineStr">
        <is>
          <t>https://hips.hearstapps.com/hmg-prod/images/2026-ford-mustang.jpg</t>
        </is>
      </c>
      <c r="Z119" s="27" t="inlineStr">
        <is>
          <t>https://www.caranddriver.com/ford/mustang</t>
        </is>
      </c>
      <c r="AA119" s="17" t="inlineStr">
        <is>
          <t>Car and Driver Buyer's Guide</t>
        </is>
      </c>
    </row>
    <row r="120" ht="48" customHeight="1">
      <c r="A120" s="4" t="n">
        <v>2026</v>
      </c>
      <c r="B120" s="5" t="inlineStr">
        <is>
          <t>Ford</t>
        </is>
      </c>
      <c r="C120" s="5" t="inlineStr">
        <is>
          <t>Mustang</t>
        </is>
      </c>
      <c r="D120" s="5" t="inlineStr">
        <is>
          <t>GT Premium 6MT</t>
        </is>
      </c>
      <c r="E120" s="5" t="inlineStr">
        <is>
          <t>V8 Muscle Car</t>
        </is>
      </c>
      <c r="F120" s="5" t="inlineStr">
        <is>
          <t>Gasoline</t>
        </is>
      </c>
      <c r="G120" s="6" t="n">
        <v>48000</v>
      </c>
      <c r="H120" s="7" t="n">
        <v>486</v>
      </c>
      <c r="I120" s="7" t="n">
        <v>418</v>
      </c>
      <c r="J120" s="5" t="inlineStr">
        <is>
          <t>5.0L Coyote Gen-4 V8</t>
        </is>
      </c>
      <c r="K120" s="8" t="n">
        <v>5</v>
      </c>
      <c r="L120" s="4" t="n">
        <v>8</v>
      </c>
      <c r="M120" s="5" t="inlineStr">
        <is>
          <t>6-Speed Manual</t>
        </is>
      </c>
      <c r="N120" s="4" t="inlineStr">
        <is>
          <t>RWD</t>
        </is>
      </c>
      <c r="O120" s="4" t="inlineStr">
        <is>
          <t>18 (15/23)</t>
        </is>
      </c>
      <c r="P120" s="4" t="inlineStr">
        <is>
          <t>N/A</t>
        </is>
      </c>
      <c r="Q120" s="9" t="inlineStr">
        <is>
          <t>N/A</t>
        </is>
      </c>
      <c r="R120" s="4" t="n">
        <v>4</v>
      </c>
      <c r="S120" s="10" t="n">
        <v>13.3</v>
      </c>
      <c r="T120" s="4" t="inlineStr">
        <is>
          <t>N/A</t>
        </is>
      </c>
      <c r="U120" s="11" t="inlineStr">
        <is>
          <t>9.0/10</t>
        </is>
      </c>
      <c r="V120" s="12" t="inlineStr">
        <is>
          <t xml:space="preserve"> • Refined performance and chassis poise
 • Comfortable ergonomic cabin
 • Comprehensive safety suite</t>
        </is>
      </c>
      <c r="W120" s="13" t="inlineStr">
        <is>
          <t xml:space="preserve"> • Firm ride on optional large wheels
 • Option packages add up quickly
 • Infotainment learning curve</t>
        </is>
      </c>
      <c r="X120" s="14" t="inlineStr">
        <is>
          <t>A solid, well-rounded contender in the US v8 muscle car class with competitive dynamics.</t>
        </is>
      </c>
      <c r="Y120" s="15" t="inlineStr">
        <is>
          <t>https://hips.hearstapps.com/hmg-prod/images/2026-ford-mustang.jpg</t>
        </is>
      </c>
      <c r="Z120" s="15" t="inlineStr">
        <is>
          <t>https://www.caranddriver.com/ford/mustang</t>
        </is>
      </c>
      <c r="AA120" s="5" t="inlineStr">
        <is>
          <t>Car and Driver Editors' Choice</t>
        </is>
      </c>
    </row>
    <row r="121" ht="48" customHeight="1">
      <c r="A121" s="16" t="n">
        <v>2026</v>
      </c>
      <c r="B121" s="17" t="inlineStr">
        <is>
          <t>Ford</t>
        </is>
      </c>
      <c r="C121" s="17" t="inlineStr">
        <is>
          <t>Mustang</t>
        </is>
      </c>
      <c r="D121" s="17" t="inlineStr">
        <is>
          <t>Dark Horse Fastback</t>
        </is>
      </c>
      <c r="E121" s="17" t="inlineStr">
        <is>
          <t>Track Muscle Coupe</t>
        </is>
      </c>
      <c r="F121" s="17" t="inlineStr">
        <is>
          <t>Gasoline</t>
        </is>
      </c>
      <c r="G121" s="18" t="n">
        <v>64230</v>
      </c>
      <c r="H121" s="19" t="n">
        <v>500</v>
      </c>
      <c r="I121" s="19" t="n">
        <v>418</v>
      </c>
      <c r="J121" s="17" t="inlineStr">
        <is>
          <t>5.0L Coyote Gen-4 V8</t>
        </is>
      </c>
      <c r="K121" s="20" t="n">
        <v>5</v>
      </c>
      <c r="L121" s="16" t="n">
        <v>8</v>
      </c>
      <c r="M121" s="17" t="inlineStr">
        <is>
          <t>6-Speed Tremec Manual</t>
        </is>
      </c>
      <c r="N121" s="16" t="inlineStr">
        <is>
          <t>RWD</t>
        </is>
      </c>
      <c r="O121" s="16" t="inlineStr">
        <is>
          <t>17 (14/22)</t>
        </is>
      </c>
      <c r="P121" s="16" t="inlineStr">
        <is>
          <t>N/A</t>
        </is>
      </c>
      <c r="Q121" s="21" t="inlineStr">
        <is>
          <t>N/A</t>
        </is>
      </c>
      <c r="R121" s="16" t="n">
        <v>4</v>
      </c>
      <c r="S121" s="22" t="n">
        <v>13.3</v>
      </c>
      <c r="T121" s="16" t="inlineStr">
        <is>
          <t>N/A</t>
        </is>
      </c>
      <c r="U121" s="28" t="inlineStr">
        <is>
          <t>9.0/10</t>
        </is>
      </c>
      <c r="V121" s="24" t="inlineStr">
        <is>
          <t xml:space="preserve"> • Refined performance and chassis poise
 • Comfortable ergonomic cabin
 • Comprehensive safety suite</t>
        </is>
      </c>
      <c r="W121" s="25" t="inlineStr">
        <is>
          <t xml:space="preserve"> • Firm ride on optional large wheels
 • Option packages add up quickly
 • Infotainment learning curve</t>
        </is>
      </c>
      <c r="X121" s="26" t="inlineStr">
        <is>
          <t>A solid, well-rounded contender in the US track muscle coupe class with competitive dynamics.</t>
        </is>
      </c>
      <c r="Y121" s="27" t="inlineStr">
        <is>
          <t>https://hips.hearstapps.com/hmg-prod/images/2026-ford-mustang.jpg</t>
        </is>
      </c>
      <c r="Z121" s="27" t="inlineStr">
        <is>
          <t>https://www.caranddriver.com/ford/mustang</t>
        </is>
      </c>
      <c r="AA121" s="17" t="inlineStr">
        <is>
          <t>Car and Driver Editors' Choice</t>
        </is>
      </c>
    </row>
    <row r="122" ht="48" customHeight="1">
      <c r="A122" s="4" t="n">
        <v>2026</v>
      </c>
      <c r="B122" s="5" t="inlineStr">
        <is>
          <t>Ford</t>
        </is>
      </c>
      <c r="C122" s="5" t="inlineStr">
        <is>
          <t>Mustang Mach-E</t>
        </is>
      </c>
      <c r="D122" s="5" t="inlineStr">
        <is>
          <t>Rally AWD</t>
        </is>
      </c>
      <c r="E122" s="5" t="inlineStr">
        <is>
          <t>Electric Performance Crossover</t>
        </is>
      </c>
      <c r="F122" s="5" t="inlineStr">
        <is>
          <t>Electric</t>
        </is>
      </c>
      <c r="G122" s="6" t="n">
        <v>61890</v>
      </c>
      <c r="H122" s="7" t="n">
        <v>480</v>
      </c>
      <c r="I122" s="7" t="n">
        <v>700</v>
      </c>
      <c r="J122" s="5" t="inlineStr">
        <is>
          <t>Dual Motors w/ RallySport</t>
        </is>
      </c>
      <c r="K122" s="4" t="inlineStr">
        <is>
          <t>N/A</t>
        </is>
      </c>
      <c r="L122" s="4" t="n">
        <v>0</v>
      </c>
      <c r="M122" s="5" t="inlineStr">
        <is>
          <t>1-Speed Direct</t>
        </is>
      </c>
      <c r="N122" s="4" t="inlineStr">
        <is>
          <t>AWD</t>
        </is>
      </c>
      <c r="O122" s="4" t="inlineStr">
        <is>
          <t>86 MPGe</t>
        </is>
      </c>
      <c r="P122" s="4" t="inlineStr">
        <is>
          <t>265</t>
        </is>
      </c>
      <c r="Q122" s="10" t="n">
        <v>91</v>
      </c>
      <c r="R122" s="4" t="n">
        <v>5</v>
      </c>
      <c r="S122" s="10" t="n">
        <v>29.7</v>
      </c>
      <c r="T122" s="4" t="inlineStr">
        <is>
          <t>N/A</t>
        </is>
      </c>
      <c r="U122" s="11" t="inlineStr">
        <is>
          <t>8.5/10</t>
        </is>
      </c>
      <c r="V122" s="12" t="inlineStr">
        <is>
          <t xml:space="preserve"> • Silent, instantaneous acceleration
 • Low center of gravity enhances stability
 • Zero tailpipe emissions</t>
        </is>
      </c>
      <c r="W122" s="13" t="inlineStr">
        <is>
          <t xml:space="preserve"> • Highway range drops at sustained speed
 • Public charging network variability
 • Pricier initial purchase cost</t>
        </is>
      </c>
      <c r="X122" s="14" t="inlineStr">
        <is>
          <t>A compelling electric entry in the electric performance crossover segment offering smooth power delivery and advanced tech.</t>
        </is>
      </c>
      <c r="Y122" s="15" t="inlineStr">
        <is>
          <t>https://hips.hearstapps.com/hmg-prod/images/2026-ford-mustang-mach-e.jpg</t>
        </is>
      </c>
      <c r="Z122" s="15" t="inlineStr">
        <is>
          <t>https://www.caranddriver.com/ford/mustang-mach-e</t>
        </is>
      </c>
      <c r="AA122" s="5" t="inlineStr">
        <is>
          <t>Car and Driver Buyer's Guide</t>
        </is>
      </c>
    </row>
    <row r="123" ht="48" customHeight="1">
      <c r="A123" s="16" t="n">
        <v>2026</v>
      </c>
      <c r="B123" s="17" t="inlineStr">
        <is>
          <t>Ford</t>
        </is>
      </c>
      <c r="C123" s="17" t="inlineStr">
        <is>
          <t>Bronco Sport</t>
        </is>
      </c>
      <c r="D123" s="17" t="inlineStr">
        <is>
          <t>Badlands AWD</t>
        </is>
      </c>
      <c r="E123" s="17" t="inlineStr">
        <is>
          <t>Subcompact Rugged Crossover</t>
        </is>
      </c>
      <c r="F123" s="17" t="inlineStr">
        <is>
          <t>Gasoline</t>
        </is>
      </c>
      <c r="G123" s="18" t="n">
        <v>41000</v>
      </c>
      <c r="H123" s="19" t="n">
        <v>250</v>
      </c>
      <c r="I123" s="19" t="n">
        <v>277</v>
      </c>
      <c r="J123" s="17" t="inlineStr">
        <is>
          <t>2.0L EcoBoost Turbo I4</t>
        </is>
      </c>
      <c r="K123" s="20" t="n">
        <v>2</v>
      </c>
      <c r="L123" s="16" t="n">
        <v>4</v>
      </c>
      <c r="M123" s="17" t="inlineStr">
        <is>
          <t>8-Speed Auto</t>
        </is>
      </c>
      <c r="N123" s="16" t="inlineStr">
        <is>
          <t>Advanced 4WD</t>
        </is>
      </c>
      <c r="O123" s="16" t="inlineStr">
        <is>
          <t>23 (21/26)</t>
        </is>
      </c>
      <c r="P123" s="16" t="inlineStr">
        <is>
          <t>N/A</t>
        </is>
      </c>
      <c r="Q123" s="21" t="inlineStr">
        <is>
          <t>N/A</t>
        </is>
      </c>
      <c r="R123" s="16" t="n">
        <v>5</v>
      </c>
      <c r="S123" s="22" t="n">
        <v>29.4</v>
      </c>
      <c r="T123" s="19" t="n">
        <v>2200</v>
      </c>
      <c r="U123" s="28" t="inlineStr">
        <is>
          <t>8.5/10</t>
        </is>
      </c>
      <c r="V123" s="24" t="inlineStr">
        <is>
          <t xml:space="preserve"> • Removable doors and roof for open-air freedom
 • Unstoppable off-road rock crawl ability
 • High residual values</t>
        </is>
      </c>
      <c r="W123" s="25" t="inlineStr">
        <is>
          <t xml:space="preserve"> • Elevated highway wind and tire roar
 • Vague on-center steering wander
 • Choppy ride quality</t>
        </is>
      </c>
      <c r="X123" s="26" t="inlineStr">
        <is>
          <t>Iconic American adventure icons engineered to tackle trails where other vehicles fear to tread.</t>
        </is>
      </c>
      <c r="Y123" s="27" t="inlineStr">
        <is>
          <t>https://hips.hearstapps.com/hmg-prod/images/2026-ford-bronco-sport.jpg</t>
        </is>
      </c>
      <c r="Z123" s="27" t="inlineStr">
        <is>
          <t>https://www.caranddriver.com/ford/bronco-sport</t>
        </is>
      </c>
      <c r="AA123" s="17" t="inlineStr">
        <is>
          <t>Car and Driver Buyer's Guide</t>
        </is>
      </c>
    </row>
    <row r="124" ht="48" customHeight="1">
      <c r="A124" s="4" t="n">
        <v>2026</v>
      </c>
      <c r="B124" s="5" t="inlineStr">
        <is>
          <t>Ford</t>
        </is>
      </c>
      <c r="C124" s="5" t="inlineStr">
        <is>
          <t>Bronco</t>
        </is>
      </c>
      <c r="D124" s="5" t="inlineStr">
        <is>
          <t>Badlands 4-Door</t>
        </is>
      </c>
      <c r="E124" s="5" t="inlineStr">
        <is>
          <t>Mid-Size 4x4 Off-Roader</t>
        </is>
      </c>
      <c r="F124" s="5" t="inlineStr">
        <is>
          <t>Gasoline</t>
        </is>
      </c>
      <c r="G124" s="6" t="n">
        <v>53585</v>
      </c>
      <c r="H124" s="7" t="n">
        <v>330</v>
      </c>
      <c r="I124" s="7" t="n">
        <v>415</v>
      </c>
      <c r="J124" s="5" t="inlineStr">
        <is>
          <t>2.7L EcoBoost Twin-Turbo V6</t>
        </is>
      </c>
      <c r="K124" s="8" t="n">
        <v>2.7</v>
      </c>
      <c r="L124" s="4" t="n">
        <v>6</v>
      </c>
      <c r="M124" s="5" t="inlineStr">
        <is>
          <t>10-Speed Auto</t>
        </is>
      </c>
      <c r="N124" s="4" t="inlineStr">
        <is>
          <t>Advanced 4WD</t>
        </is>
      </c>
      <c r="O124" s="4" t="inlineStr">
        <is>
          <t>17 (16/17)</t>
        </is>
      </c>
      <c r="P124" s="4" t="inlineStr">
        <is>
          <t>N/A</t>
        </is>
      </c>
      <c r="Q124" s="9" t="inlineStr">
        <is>
          <t>N/A</t>
        </is>
      </c>
      <c r="R124" s="4" t="n">
        <v>5</v>
      </c>
      <c r="S124" s="10" t="n">
        <v>35.6</v>
      </c>
      <c r="T124" s="7" t="n">
        <v>3500</v>
      </c>
      <c r="U124" s="11" t="inlineStr">
        <is>
          <t>9.0/10</t>
        </is>
      </c>
      <c r="V124" s="12" t="inlineStr">
        <is>
          <t xml:space="preserve"> • Removable doors and roof for open-air freedom
 • Unstoppable off-road rock crawl ability
 • High residual values</t>
        </is>
      </c>
      <c r="W124" s="13" t="inlineStr">
        <is>
          <t xml:space="preserve"> • Elevated highway wind and tire roar
 • Vague on-center steering wander
 • Choppy ride quality</t>
        </is>
      </c>
      <c r="X124" s="14" t="inlineStr">
        <is>
          <t>Iconic American adventure icons engineered to tackle trails where other vehicles fear to tread.</t>
        </is>
      </c>
      <c r="Y124" s="15" t="inlineStr">
        <is>
          <t>https://hips.hearstapps.com/hmg-prod/images/2026-ford-bronco.jpg</t>
        </is>
      </c>
      <c r="Z124" s="15" t="inlineStr">
        <is>
          <t>https://www.caranddriver.com/ford/bronco</t>
        </is>
      </c>
      <c r="AA124" s="5" t="inlineStr">
        <is>
          <t>Car and Driver 10Best</t>
        </is>
      </c>
    </row>
    <row r="125" ht="48" customHeight="1">
      <c r="A125" s="16" t="n">
        <v>2026</v>
      </c>
      <c r="B125" s="17" t="inlineStr">
        <is>
          <t>Ford</t>
        </is>
      </c>
      <c r="C125" s="17" t="inlineStr">
        <is>
          <t>Bronco</t>
        </is>
      </c>
      <c r="D125" s="17" t="inlineStr">
        <is>
          <t>Raptor 4WD</t>
        </is>
      </c>
      <c r="E125" s="17" t="inlineStr">
        <is>
          <t>Desert Off-Road SUV</t>
        </is>
      </c>
      <c r="F125" s="17" t="inlineStr">
        <is>
          <t>Gasoline</t>
        </is>
      </c>
      <c r="G125" s="18" t="n">
        <v>91930</v>
      </c>
      <c r="H125" s="19" t="n">
        <v>418</v>
      </c>
      <c r="I125" s="19" t="n">
        <v>440</v>
      </c>
      <c r="J125" s="17" t="inlineStr">
        <is>
          <t>3.0L EcoBoost Twin-Turbo V6</t>
        </is>
      </c>
      <c r="K125" s="20" t="n">
        <v>3</v>
      </c>
      <c r="L125" s="16" t="n">
        <v>6</v>
      </c>
      <c r="M125" s="17" t="inlineStr">
        <is>
          <t>10-Speed Auto</t>
        </is>
      </c>
      <c r="N125" s="16" t="inlineStr">
        <is>
          <t>4WD w/ Live-Valve Fox</t>
        </is>
      </c>
      <c r="O125" s="16" t="inlineStr">
        <is>
          <t>15 (15/16)</t>
        </is>
      </c>
      <c r="P125" s="16" t="inlineStr">
        <is>
          <t>N/A</t>
        </is>
      </c>
      <c r="Q125" s="21" t="inlineStr">
        <is>
          <t>N/A</t>
        </is>
      </c>
      <c r="R125" s="16" t="n">
        <v>5</v>
      </c>
      <c r="S125" s="22" t="n">
        <v>33.4</v>
      </c>
      <c r="T125" s="19" t="n">
        <v>4500</v>
      </c>
      <c r="U125" s="23" t="inlineStr">
        <is>
          <t>9.5/10</t>
        </is>
      </c>
      <c r="V125" s="24" t="inlineStr">
        <is>
          <t xml:space="preserve"> • Removable doors and roof for open-air freedom
 • Unstoppable off-road rock crawl ability
 • High residual values</t>
        </is>
      </c>
      <c r="W125" s="25" t="inlineStr">
        <is>
          <t xml:space="preserve"> • Elevated highway wind and tire roar
 • Vague on-center steering wander
 • Choppy ride quality</t>
        </is>
      </c>
      <c r="X125" s="26" t="inlineStr">
        <is>
          <t>Iconic American adventure icons engineered to tackle trails where other vehicles fear to tread.</t>
        </is>
      </c>
      <c r="Y125" s="27" t="inlineStr">
        <is>
          <t>https://hips.hearstapps.com/hmg-prod/images/2026-ford-bronco.jpg</t>
        </is>
      </c>
      <c r="Z125" s="27" t="inlineStr">
        <is>
          <t>https://www.caranddriver.com/ford/bronco-raptor</t>
        </is>
      </c>
      <c r="AA125" s="17" t="inlineStr">
        <is>
          <t>Car and Driver Editors' Choice</t>
        </is>
      </c>
    </row>
    <row r="126" ht="48" customHeight="1">
      <c r="A126" s="4" t="n">
        <v>2026</v>
      </c>
      <c r="B126" s="5" t="inlineStr">
        <is>
          <t>Ford</t>
        </is>
      </c>
      <c r="C126" s="5" t="inlineStr">
        <is>
          <t>Explorer</t>
        </is>
      </c>
      <c r="D126" s="5" t="inlineStr">
        <is>
          <t>ST 4WD</t>
        </is>
      </c>
      <c r="E126" s="5" t="inlineStr">
        <is>
          <t>3-Row Mid-Size Sport SUV</t>
        </is>
      </c>
      <c r="F126" s="5" t="inlineStr">
        <is>
          <t>Gasoline</t>
        </is>
      </c>
      <c r="G126" s="6" t="n">
        <v>56350</v>
      </c>
      <c r="H126" s="7" t="n">
        <v>400</v>
      </c>
      <c r="I126" s="7" t="n">
        <v>415</v>
      </c>
      <c r="J126" s="5" t="inlineStr">
        <is>
          <t>3.0L EcoBoost Twin-Turbo V6</t>
        </is>
      </c>
      <c r="K126" s="8" t="n">
        <v>3</v>
      </c>
      <c r="L126" s="4" t="n">
        <v>6</v>
      </c>
      <c r="M126" s="5" t="inlineStr">
        <is>
          <t>10-Speed Auto</t>
        </is>
      </c>
      <c r="N126" s="4" t="inlineStr">
        <is>
          <t>4WD</t>
        </is>
      </c>
      <c r="O126" s="4" t="inlineStr">
        <is>
          <t>20 (18/24)</t>
        </is>
      </c>
      <c r="P126" s="4" t="inlineStr">
        <is>
          <t>N/A</t>
        </is>
      </c>
      <c r="Q126" s="9" t="inlineStr">
        <is>
          <t>N/A</t>
        </is>
      </c>
      <c r="R126" s="4" t="n">
        <v>6</v>
      </c>
      <c r="S126" s="10" t="n">
        <v>18.2</v>
      </c>
      <c r="T126" s="7" t="n">
        <v>5000</v>
      </c>
      <c r="U126" s="11" t="inlineStr">
        <is>
          <t>8.0/10</t>
        </is>
      </c>
      <c r="V126" s="12" t="inlineStr">
        <is>
          <t xml:space="preserve"> • Spacious passenger and cargo room
 • Commanding elevated driving position
 • Confidence-inspiring all-weather grip</t>
        </is>
      </c>
      <c r="W126" s="13" t="inlineStr">
        <is>
          <t xml:space="preserve"> • Higher center of gravity than sedans
 • Fuel consumption under heavy load
 • Less engaging steering feel</t>
        </is>
      </c>
      <c r="X126" s="14" t="inlineStr">
        <is>
          <t>A highly versatile 3-row mid-size sport suv that delivers generous space, modern safety tech, and daily utility.</t>
        </is>
      </c>
      <c r="Y126" s="15" t="inlineStr">
        <is>
          <t>https://hips.hearstapps.com/hmg-prod/images/2026-ford-explorer.jpg</t>
        </is>
      </c>
      <c r="Z126" s="15" t="inlineStr">
        <is>
          <t>https://www.caranddriver.com/ford/explorer</t>
        </is>
      </c>
      <c r="AA126" s="5" t="inlineStr">
        <is>
          <t>Car and Driver Buyer's Guide</t>
        </is>
      </c>
    </row>
    <row r="127" ht="48" customHeight="1">
      <c r="A127" s="16" t="n">
        <v>2026</v>
      </c>
      <c r="B127" s="17" t="inlineStr">
        <is>
          <t>Ford</t>
        </is>
      </c>
      <c r="C127" s="17" t="inlineStr">
        <is>
          <t>Expedition</t>
        </is>
      </c>
      <c r="D127" s="17" t="inlineStr">
        <is>
          <t>Tremor 4WD</t>
        </is>
      </c>
      <c r="E127" s="17" t="inlineStr">
        <is>
          <t>Full-Size 3-Row SUV</t>
        </is>
      </c>
      <c r="F127" s="17" t="inlineStr">
        <is>
          <t>Gasoline</t>
        </is>
      </c>
      <c r="G127" s="18" t="n">
        <v>78000</v>
      </c>
      <c r="H127" s="19" t="n">
        <v>440</v>
      </c>
      <c r="I127" s="19" t="n">
        <v>510</v>
      </c>
      <c r="J127" s="17" t="inlineStr">
        <is>
          <t>3.5L EcoBoost High-Output V6</t>
        </is>
      </c>
      <c r="K127" s="20" t="n">
        <v>3.5</v>
      </c>
      <c r="L127" s="16" t="n">
        <v>6</v>
      </c>
      <c r="M127" s="17" t="inlineStr">
        <is>
          <t>10-Speed Auto</t>
        </is>
      </c>
      <c r="N127" s="16" t="inlineStr">
        <is>
          <t>4WD</t>
        </is>
      </c>
      <c r="O127" s="16" t="inlineStr">
        <is>
          <t>17 (15/20)</t>
        </is>
      </c>
      <c r="P127" s="16" t="inlineStr">
        <is>
          <t>N/A</t>
        </is>
      </c>
      <c r="Q127" s="21" t="inlineStr">
        <is>
          <t>N/A</t>
        </is>
      </c>
      <c r="R127" s="16" t="n">
        <v>7</v>
      </c>
      <c r="S127" s="22" t="n">
        <v>20.9</v>
      </c>
      <c r="T127" s="19" t="n">
        <v>9600</v>
      </c>
      <c r="U127" s="28" t="inlineStr">
        <is>
          <t>9.0/10</t>
        </is>
      </c>
      <c r="V127" s="24" t="inlineStr">
        <is>
          <t xml:space="preserve"> • Spacious passenger and cargo room
 • Commanding elevated driving position
 • Confidence-inspiring all-weather grip</t>
        </is>
      </c>
      <c r="W127" s="25" t="inlineStr">
        <is>
          <t xml:space="preserve"> • Higher center of gravity than sedans
 • Fuel consumption under heavy load
 • Less engaging steering feel</t>
        </is>
      </c>
      <c r="X127" s="26" t="inlineStr">
        <is>
          <t>A highly versatile full-size 3-row suv that delivers generous space, modern safety tech, and daily utility.</t>
        </is>
      </c>
      <c r="Y127" s="27" t="inlineStr">
        <is>
          <t>https://hips.hearstapps.com/hmg-prod/images/2026-ford-expedition.jpg</t>
        </is>
      </c>
      <c r="Z127" s="27" t="inlineStr">
        <is>
          <t>https://www.caranddriver.com/ford/expedition</t>
        </is>
      </c>
      <c r="AA127" s="17" t="inlineStr">
        <is>
          <t>Car and Driver Buyer's Guide</t>
        </is>
      </c>
    </row>
    <row r="128" ht="48" customHeight="1">
      <c r="A128" s="4" t="n">
        <v>2026</v>
      </c>
      <c r="B128" s="5" t="inlineStr">
        <is>
          <t>Genesis</t>
        </is>
      </c>
      <c r="C128" s="5" t="inlineStr">
        <is>
          <t>G70</t>
        </is>
      </c>
      <c r="D128" s="5" t="inlineStr">
        <is>
          <t>3.3T Sport Prestige</t>
        </is>
      </c>
      <c r="E128" s="5" t="inlineStr">
        <is>
          <t>Compact Sport Sedan</t>
        </is>
      </c>
      <c r="F128" s="5" t="inlineStr">
        <is>
          <t>Gasoline</t>
        </is>
      </c>
      <c r="G128" s="6" t="n">
        <v>52000</v>
      </c>
      <c r="H128" s="7" t="n">
        <v>365</v>
      </c>
      <c r="I128" s="7" t="n">
        <v>376</v>
      </c>
      <c r="J128" s="5" t="inlineStr">
        <is>
          <t>3.3L Twin-Turbo V6</t>
        </is>
      </c>
      <c r="K128" s="8" t="n">
        <v>3.3</v>
      </c>
      <c r="L128" s="4" t="n">
        <v>6</v>
      </c>
      <c r="M128" s="5" t="inlineStr">
        <is>
          <t>8-Speed Auto</t>
        </is>
      </c>
      <c r="N128" s="4" t="inlineStr">
        <is>
          <t>AWD</t>
        </is>
      </c>
      <c r="O128" s="4" t="inlineStr">
        <is>
          <t>20 (17/25)</t>
        </is>
      </c>
      <c r="P128" s="4" t="inlineStr">
        <is>
          <t>N/A</t>
        </is>
      </c>
      <c r="Q128" s="9" t="inlineStr">
        <is>
          <t>N/A</t>
        </is>
      </c>
      <c r="R128" s="4" t="n">
        <v>5</v>
      </c>
      <c r="S128" s="10" t="n">
        <v>10.5</v>
      </c>
      <c r="T128" s="4" t="inlineStr">
        <is>
          <t>N/A</t>
        </is>
      </c>
      <c r="U128" s="11" t="inlineStr">
        <is>
          <t>9.0/10</t>
        </is>
      </c>
      <c r="V128" s="12" t="inlineStr">
        <is>
          <t xml:space="preserve"> • Sharper handling dynamics than taller SUVs
 • Superior highway fuel economy
 • Easy maneuvering in urban spaces</t>
        </is>
      </c>
      <c r="W128" s="13" t="inlineStr">
        <is>
          <t xml:space="preserve"> • Less cargo flexibility than crossovers
 • Lower seating hip point for ingress
 • Fewer AWD options</t>
        </is>
      </c>
      <c r="X128" s="14" t="inlineStr">
        <is>
          <t>A well-proportioned compact sport sedan offering superior driving manners and efficiency over conventional crossovers.</t>
        </is>
      </c>
      <c r="Y128" s="15" t="inlineStr">
        <is>
          <t>https://hips.hearstapps.com/hmg-prod/images/2026-genesis-g70.jpg</t>
        </is>
      </c>
      <c r="Z128" s="15" t="inlineStr">
        <is>
          <t>https://www.caranddriver.com/genesis/g70</t>
        </is>
      </c>
      <c r="AA128" s="5" t="inlineStr">
        <is>
          <t>Car and Driver Editors' Choice</t>
        </is>
      </c>
    </row>
    <row r="129" ht="48" customHeight="1">
      <c r="A129" s="16" t="n">
        <v>2026</v>
      </c>
      <c r="B129" s="17" t="inlineStr">
        <is>
          <t>Genesis</t>
        </is>
      </c>
      <c r="C129" s="17" t="inlineStr">
        <is>
          <t>G80</t>
        </is>
      </c>
      <c r="D129" s="17" t="inlineStr">
        <is>
          <t>3.5T Sport Prestige</t>
        </is>
      </c>
      <c r="E129" s="17" t="inlineStr">
        <is>
          <t>Executive Sedan</t>
        </is>
      </c>
      <c r="F129" s="17" t="inlineStr">
        <is>
          <t>Gasoline</t>
        </is>
      </c>
      <c r="G129" s="18" t="n">
        <v>74395</v>
      </c>
      <c r="H129" s="19" t="n">
        <v>375</v>
      </c>
      <c r="I129" s="19" t="n">
        <v>391</v>
      </c>
      <c r="J129" s="17" t="inlineStr">
        <is>
          <t>3.5L Twin-Turbo V6</t>
        </is>
      </c>
      <c r="K129" s="20" t="n">
        <v>3.5</v>
      </c>
      <c r="L129" s="16" t="n">
        <v>6</v>
      </c>
      <c r="M129" s="17" t="inlineStr">
        <is>
          <t>8-Speed Auto</t>
        </is>
      </c>
      <c r="N129" s="16" t="inlineStr">
        <is>
          <t>AWD</t>
        </is>
      </c>
      <c r="O129" s="16" t="inlineStr">
        <is>
          <t>19 (16/25)</t>
        </is>
      </c>
      <c r="P129" s="16" t="inlineStr">
        <is>
          <t>N/A</t>
        </is>
      </c>
      <c r="Q129" s="21" t="inlineStr">
        <is>
          <t>N/A</t>
        </is>
      </c>
      <c r="R129" s="16" t="n">
        <v>5</v>
      </c>
      <c r="S129" s="22" t="n">
        <v>13.1</v>
      </c>
      <c r="T129" s="16" t="inlineStr">
        <is>
          <t>N/A</t>
        </is>
      </c>
      <c r="U129" s="23" t="inlineStr">
        <is>
          <t>9.5/10</t>
        </is>
      </c>
      <c r="V129" s="24" t="inlineStr">
        <is>
          <t xml:space="preserve"> • Sharper handling dynamics than taller SUVs
 • Superior highway fuel economy
 • Easy maneuvering in urban spaces</t>
        </is>
      </c>
      <c r="W129" s="25" t="inlineStr">
        <is>
          <t xml:space="preserve"> • Less cargo flexibility than crossovers
 • Lower seating hip point for ingress
 • Fewer AWD options</t>
        </is>
      </c>
      <c r="X129" s="26" t="inlineStr">
        <is>
          <t>A well-proportioned executive sedan offering superior driving manners and efficiency over conventional crossovers.</t>
        </is>
      </c>
      <c r="Y129" s="27" t="inlineStr">
        <is>
          <t>https://hips.hearstapps.com/hmg-prod/images/2026-genesis-g80.jpg</t>
        </is>
      </c>
      <c r="Z129" s="27" t="inlineStr">
        <is>
          <t>https://www.caranddriver.com/genesis/g80</t>
        </is>
      </c>
      <c r="AA129" s="17" t="inlineStr">
        <is>
          <t>Car and Driver 10Best</t>
        </is>
      </c>
    </row>
    <row r="130" ht="48" customHeight="1">
      <c r="A130" s="4" t="n">
        <v>2026</v>
      </c>
      <c r="B130" s="5" t="inlineStr">
        <is>
          <t>Genesis</t>
        </is>
      </c>
      <c r="C130" s="5" t="inlineStr">
        <is>
          <t>Electrified G80</t>
        </is>
      </c>
      <c r="D130" s="5" t="inlineStr">
        <is>
          <t>Prestige AWD</t>
        </is>
      </c>
      <c r="E130" s="5" t="inlineStr">
        <is>
          <t>Executive EV Sedan</t>
        </is>
      </c>
      <c r="F130" s="5" t="inlineStr">
        <is>
          <t>Electric</t>
        </is>
      </c>
      <c r="G130" s="6" t="n">
        <v>81000</v>
      </c>
      <c r="H130" s="7" t="n">
        <v>365</v>
      </c>
      <c r="I130" s="7" t="n">
        <v>516</v>
      </c>
      <c r="J130" s="5" t="inlineStr">
        <is>
          <t>Dual Electric Motors</t>
        </is>
      </c>
      <c r="K130" s="4" t="inlineStr">
        <is>
          <t>N/A</t>
        </is>
      </c>
      <c r="L130" s="4" t="n">
        <v>0</v>
      </c>
      <c r="M130" s="5" t="inlineStr">
        <is>
          <t>1-Speed Direct</t>
        </is>
      </c>
      <c r="N130" s="4" t="inlineStr">
        <is>
          <t>AWD</t>
        </is>
      </c>
      <c r="O130" s="4" t="inlineStr">
        <is>
          <t>97 MPGe</t>
        </is>
      </c>
      <c r="P130" s="4" t="inlineStr">
        <is>
          <t>282</t>
        </is>
      </c>
      <c r="Q130" s="10" t="n">
        <v>87.2</v>
      </c>
      <c r="R130" s="4" t="n">
        <v>5</v>
      </c>
      <c r="S130" s="10" t="n">
        <v>10.8</v>
      </c>
      <c r="T130" s="4" t="inlineStr">
        <is>
          <t>N/A</t>
        </is>
      </c>
      <c r="U130" s="11" t="inlineStr">
        <is>
          <t>9.0/10</t>
        </is>
      </c>
      <c r="V130" s="12" t="inlineStr">
        <is>
          <t xml:space="preserve"> • Silent, instantaneous acceleration
 • Low center of gravity enhances stability
 • Zero tailpipe emissions</t>
        </is>
      </c>
      <c r="W130" s="13" t="inlineStr">
        <is>
          <t xml:space="preserve"> • Highway range drops at sustained speed
 • Public charging network variability
 • Pricier initial purchase cost</t>
        </is>
      </c>
      <c r="X130" s="14" t="inlineStr">
        <is>
          <t>A compelling electric entry in the executive ev sedan segment offering smooth power delivery and advanced tech.</t>
        </is>
      </c>
      <c r="Y130" s="15" t="inlineStr">
        <is>
          <t>https://hips.hearstapps.com/hmg-prod/images/2026-genesis-electrified-g80.jpg</t>
        </is>
      </c>
      <c r="Z130" s="15" t="inlineStr">
        <is>
          <t>https://www.caranddriver.com/genesis/electrified-g80</t>
        </is>
      </c>
      <c r="AA130" s="5" t="inlineStr">
        <is>
          <t>Car and Driver Editors' Choice</t>
        </is>
      </c>
    </row>
    <row r="131" ht="48" customHeight="1">
      <c r="A131" s="16" t="n">
        <v>2026</v>
      </c>
      <c r="B131" s="17" t="inlineStr">
        <is>
          <t>Genesis</t>
        </is>
      </c>
      <c r="C131" s="17" t="inlineStr">
        <is>
          <t>G90</t>
        </is>
      </c>
      <c r="D131" s="17" t="inlineStr">
        <is>
          <t>3.5T E-Supercharger</t>
        </is>
      </c>
      <c r="E131" s="17" t="inlineStr">
        <is>
          <t>Full-Size Luxury Flagship</t>
        </is>
      </c>
      <c r="F131" s="17" t="inlineStr">
        <is>
          <t>Mild Hybrid</t>
        </is>
      </c>
      <c r="G131" s="18" t="n">
        <v>101000</v>
      </c>
      <c r="H131" s="19" t="n">
        <v>409</v>
      </c>
      <c r="I131" s="19" t="n">
        <v>405</v>
      </c>
      <c r="J131" s="17" t="inlineStr">
        <is>
          <t>3.5L Twin-Turbo V6 w/ 48V e-Supercharger</t>
        </is>
      </c>
      <c r="K131" s="20" t="n">
        <v>3.5</v>
      </c>
      <c r="L131" s="16" t="n">
        <v>6</v>
      </c>
      <c r="M131" s="17" t="inlineStr">
        <is>
          <t>8-Speed Auto</t>
        </is>
      </c>
      <c r="N131" s="16" t="inlineStr">
        <is>
          <t>AWD</t>
        </is>
      </c>
      <c r="O131" s="16" t="inlineStr">
        <is>
          <t>20 (17/24)</t>
        </is>
      </c>
      <c r="P131" s="16" t="inlineStr">
        <is>
          <t>N/A</t>
        </is>
      </c>
      <c r="Q131" s="21" t="inlineStr">
        <is>
          <t>N/A</t>
        </is>
      </c>
      <c r="R131" s="16" t="n">
        <v>5</v>
      </c>
      <c r="S131" s="22" t="n">
        <v>12</v>
      </c>
      <c r="T131" s="16" t="inlineStr">
        <is>
          <t>N/A</t>
        </is>
      </c>
      <c r="U131" s="23" t="inlineStr">
        <is>
          <t>9.5/10</t>
        </is>
      </c>
      <c r="V131" s="24" t="inlineStr">
        <is>
          <t xml:space="preserve"> • Superb real-world fuel economy
 • Smooth electric-gas power handover
 • No range anxiety on long trips</t>
        </is>
      </c>
      <c r="W131" s="25" t="inlineStr">
        <is>
          <t xml:space="preserve"> • Added curb weight from battery packs
 • Slightly compromised cargo space
 • eCVT engine flare during passing</t>
        </is>
      </c>
      <c r="X131" s="26" t="inlineStr">
        <is>
          <t>A finely engineered mild hybrid full-size luxury flagship striking the optimal balance between high efficiency and long-distance practicality.</t>
        </is>
      </c>
      <c r="Y131" s="27" t="inlineStr">
        <is>
          <t>https://hips.hearstapps.com/hmg-prod/images/2026-genesis-g90.jpg</t>
        </is>
      </c>
      <c r="Z131" s="27" t="inlineStr">
        <is>
          <t>https://www.caranddriver.com/genesis/g90</t>
        </is>
      </c>
      <c r="AA131" s="17" t="inlineStr">
        <is>
          <t>Car and Driver Editors' Choice</t>
        </is>
      </c>
    </row>
    <row r="132" ht="48" customHeight="1">
      <c r="A132" s="4" t="n">
        <v>2026</v>
      </c>
      <c r="B132" s="5" t="inlineStr">
        <is>
          <t>Genesis</t>
        </is>
      </c>
      <c r="C132" s="5" t="inlineStr">
        <is>
          <t>GV60</t>
        </is>
      </c>
      <c r="D132" s="5" t="inlineStr">
        <is>
          <t>Performance AWD</t>
        </is>
      </c>
      <c r="E132" s="5" t="inlineStr">
        <is>
          <t>Compact EV Crossover</t>
        </is>
      </c>
      <c r="F132" s="5" t="inlineStr">
        <is>
          <t>Electric</t>
        </is>
      </c>
      <c r="G132" s="6" t="n">
        <v>71000</v>
      </c>
      <c r="H132" s="7" t="n">
        <v>483</v>
      </c>
      <c r="I132" s="7" t="n">
        <v>516</v>
      </c>
      <c r="J132" s="5" t="inlineStr">
        <is>
          <t>Dual Motors (Boost Mode)</t>
        </is>
      </c>
      <c r="K132" s="4" t="inlineStr">
        <is>
          <t>N/A</t>
        </is>
      </c>
      <c r="L132" s="4" t="n">
        <v>0</v>
      </c>
      <c r="M132" s="5" t="inlineStr">
        <is>
          <t>1-Speed Direct</t>
        </is>
      </c>
      <c r="N132" s="4" t="inlineStr">
        <is>
          <t>AWD</t>
        </is>
      </c>
      <c r="O132" s="4" t="inlineStr">
        <is>
          <t>95 MPGe</t>
        </is>
      </c>
      <c r="P132" s="4" t="inlineStr">
        <is>
          <t>235</t>
        </is>
      </c>
      <c r="Q132" s="10" t="n">
        <v>77.40000000000001</v>
      </c>
      <c r="R132" s="4" t="n">
        <v>5</v>
      </c>
      <c r="S132" s="10" t="n">
        <v>24</v>
      </c>
      <c r="T132" s="7" t="n">
        <v>2000</v>
      </c>
      <c r="U132" s="11" t="inlineStr">
        <is>
          <t>9.0/10</t>
        </is>
      </c>
      <c r="V132" s="12" t="inlineStr">
        <is>
          <t xml:space="preserve"> • Silent, instantaneous acceleration
 • Low center of gravity enhances stability
 • Zero tailpipe emissions</t>
        </is>
      </c>
      <c r="W132" s="13" t="inlineStr">
        <is>
          <t xml:space="preserve"> • Highway range drops at sustained speed
 • Public charging network variability
 • Pricier initial purchase cost</t>
        </is>
      </c>
      <c r="X132" s="14" t="inlineStr">
        <is>
          <t>A compelling electric entry in the compact ev crossover segment offering smooth power delivery and advanced tech.</t>
        </is>
      </c>
      <c r="Y132" s="15" t="inlineStr">
        <is>
          <t>https://hips.hearstapps.com/hmg-prod/images/2026-genesis-gv60.jpg</t>
        </is>
      </c>
      <c r="Z132" s="15" t="inlineStr">
        <is>
          <t>https://www.caranddriver.com/genesis/gv60</t>
        </is>
      </c>
      <c r="AA132" s="5" t="inlineStr">
        <is>
          <t>Car and Driver 10Best</t>
        </is>
      </c>
    </row>
    <row r="133" ht="48" customHeight="1">
      <c r="A133" s="16" t="n">
        <v>2026</v>
      </c>
      <c r="B133" s="17" t="inlineStr">
        <is>
          <t>Genesis</t>
        </is>
      </c>
      <c r="C133" s="17" t="inlineStr">
        <is>
          <t>GV70</t>
        </is>
      </c>
      <c r="D133" s="17" t="inlineStr">
        <is>
          <t>3.5T Sport Prestige</t>
        </is>
      </c>
      <c r="E133" s="17" t="inlineStr">
        <is>
          <t>Compact Luxury SUV</t>
        </is>
      </c>
      <c r="F133" s="17" t="inlineStr">
        <is>
          <t>Gasoline</t>
        </is>
      </c>
      <c r="G133" s="18" t="n">
        <v>67000</v>
      </c>
      <c r="H133" s="19" t="n">
        <v>375</v>
      </c>
      <c r="I133" s="19" t="n">
        <v>391</v>
      </c>
      <c r="J133" s="17" t="inlineStr">
        <is>
          <t>3.5L Twin-Turbo V6</t>
        </is>
      </c>
      <c r="K133" s="20" t="n">
        <v>3.5</v>
      </c>
      <c r="L133" s="16" t="n">
        <v>6</v>
      </c>
      <c r="M133" s="17" t="inlineStr">
        <is>
          <t>8-Speed Auto</t>
        </is>
      </c>
      <c r="N133" s="16" t="inlineStr">
        <is>
          <t>AWD</t>
        </is>
      </c>
      <c r="O133" s="16" t="inlineStr">
        <is>
          <t>21 (19/24)</t>
        </is>
      </c>
      <c r="P133" s="16" t="inlineStr">
        <is>
          <t>N/A</t>
        </is>
      </c>
      <c r="Q133" s="21" t="inlineStr">
        <is>
          <t>N/A</t>
        </is>
      </c>
      <c r="R133" s="16" t="n">
        <v>5</v>
      </c>
      <c r="S133" s="22" t="n">
        <v>28.9</v>
      </c>
      <c r="T133" s="19" t="n">
        <v>3500</v>
      </c>
      <c r="U133" s="23" t="inlineStr">
        <is>
          <t>9.5/10</t>
        </is>
      </c>
      <c r="V133" s="24" t="inlineStr">
        <is>
          <t xml:space="preserve"> • Spacious passenger and cargo room
 • Commanding elevated driving position
 • Confidence-inspiring all-weather grip</t>
        </is>
      </c>
      <c r="W133" s="25" t="inlineStr">
        <is>
          <t xml:space="preserve"> • Higher center of gravity than sedans
 • Fuel consumption under heavy load
 • Less engaging steering feel</t>
        </is>
      </c>
      <c r="X133" s="26" t="inlineStr">
        <is>
          <t>A highly versatile compact luxury suv that delivers generous space, modern safety tech, and daily utility.</t>
        </is>
      </c>
      <c r="Y133" s="27" t="inlineStr">
        <is>
          <t>https://hips.hearstapps.com/hmg-prod/images/2026-genesis-gv70.jpg</t>
        </is>
      </c>
      <c r="Z133" s="27" t="inlineStr">
        <is>
          <t>https://www.caranddriver.com/genesis/gv70</t>
        </is>
      </c>
      <c r="AA133" s="17" t="inlineStr">
        <is>
          <t>Car and Driver 10Best Winner</t>
        </is>
      </c>
    </row>
    <row r="134" ht="48" customHeight="1">
      <c r="A134" s="4" t="n">
        <v>2026</v>
      </c>
      <c r="B134" s="5" t="inlineStr">
        <is>
          <t>Genesis</t>
        </is>
      </c>
      <c r="C134" s="5" t="inlineStr">
        <is>
          <t>Electrified GV70</t>
        </is>
      </c>
      <c r="D134" s="5" t="inlineStr">
        <is>
          <t>Prestige AWD</t>
        </is>
      </c>
      <c r="E134" s="5" t="inlineStr">
        <is>
          <t>Compact Luxury EV SUV</t>
        </is>
      </c>
      <c r="F134" s="5" t="inlineStr">
        <is>
          <t>Electric</t>
        </is>
      </c>
      <c r="G134" s="6" t="n">
        <v>75695</v>
      </c>
      <c r="H134" s="7" t="n">
        <v>483</v>
      </c>
      <c r="I134" s="7" t="n">
        <v>516</v>
      </c>
      <c r="J134" s="5" t="inlineStr">
        <is>
          <t>Dual Motors (Boost Mode)</t>
        </is>
      </c>
      <c r="K134" s="4" t="inlineStr">
        <is>
          <t>N/A</t>
        </is>
      </c>
      <c r="L134" s="4" t="n">
        <v>0</v>
      </c>
      <c r="M134" s="5" t="inlineStr">
        <is>
          <t>1-Speed Direct</t>
        </is>
      </c>
      <c r="N134" s="4" t="inlineStr">
        <is>
          <t>AWD</t>
        </is>
      </c>
      <c r="O134" s="4" t="inlineStr">
        <is>
          <t>91 MPGe</t>
        </is>
      </c>
      <c r="P134" s="4" t="inlineStr">
        <is>
          <t>236</t>
        </is>
      </c>
      <c r="Q134" s="10" t="n">
        <v>77.40000000000001</v>
      </c>
      <c r="R134" s="4" t="n">
        <v>5</v>
      </c>
      <c r="S134" s="10" t="n">
        <v>28.7</v>
      </c>
      <c r="T134" s="7" t="n">
        <v>3500</v>
      </c>
      <c r="U134" s="29" t="inlineStr">
        <is>
          <t>9.5/10</t>
        </is>
      </c>
      <c r="V134" s="12" t="inlineStr">
        <is>
          <t xml:space="preserve"> • Silent, instantaneous acceleration
 • Low center of gravity enhances stability
 • Zero tailpipe emissions</t>
        </is>
      </c>
      <c r="W134" s="13" t="inlineStr">
        <is>
          <t xml:space="preserve"> • Highway range drops at sustained speed
 • Public charging network variability
 • Pricier initial purchase cost</t>
        </is>
      </c>
      <c r="X134" s="14" t="inlineStr">
        <is>
          <t>A compelling electric entry in the compact luxury ev suv segment offering smooth power delivery and advanced tech.</t>
        </is>
      </c>
      <c r="Y134" s="15" t="inlineStr">
        <is>
          <t>https://hips.hearstapps.com/hmg-prod/images/2026-genesis-electrified-gv70.jpg</t>
        </is>
      </c>
      <c r="Z134" s="15" t="inlineStr">
        <is>
          <t>https://www.caranddriver.com/genesis/electrified-gv70</t>
        </is>
      </c>
      <c r="AA134" s="5" t="inlineStr">
        <is>
          <t>Car and Driver 10Best Winner</t>
        </is>
      </c>
    </row>
    <row r="135" ht="48" customHeight="1">
      <c r="A135" s="16" t="n">
        <v>2026</v>
      </c>
      <c r="B135" s="17" t="inlineStr">
        <is>
          <t>Genesis</t>
        </is>
      </c>
      <c r="C135" s="17" t="inlineStr">
        <is>
          <t>GV80</t>
        </is>
      </c>
      <c r="D135" s="17" t="inlineStr">
        <is>
          <t>3.5T Coupe</t>
        </is>
      </c>
      <c r="E135" s="17" t="inlineStr">
        <is>
          <t>Mid-Size SUV Coupe</t>
        </is>
      </c>
      <c r="F135" s="17" t="inlineStr">
        <is>
          <t>Mild Hybrid</t>
        </is>
      </c>
      <c r="G135" s="18" t="n">
        <v>81300</v>
      </c>
      <c r="H135" s="19" t="n">
        <v>409</v>
      </c>
      <c r="I135" s="19" t="n">
        <v>405</v>
      </c>
      <c r="J135" s="17" t="inlineStr">
        <is>
          <t>3.5L Twin-Turbo V6 w/ e-Supercharger</t>
        </is>
      </c>
      <c r="K135" s="20" t="n">
        <v>3.5</v>
      </c>
      <c r="L135" s="16" t="n">
        <v>6</v>
      </c>
      <c r="M135" s="17" t="inlineStr">
        <is>
          <t>8-Speed Auto</t>
        </is>
      </c>
      <c r="N135" s="16" t="inlineStr">
        <is>
          <t>AWD</t>
        </is>
      </c>
      <c r="O135" s="16" t="inlineStr">
        <is>
          <t>20 (18/22)</t>
        </is>
      </c>
      <c r="P135" s="16" t="inlineStr">
        <is>
          <t>N/A</t>
        </is>
      </c>
      <c r="Q135" s="21" t="inlineStr">
        <is>
          <t>N/A</t>
        </is>
      </c>
      <c r="R135" s="16" t="n">
        <v>5</v>
      </c>
      <c r="S135" s="22" t="n">
        <v>30.3</v>
      </c>
      <c r="T135" s="19" t="n">
        <v>6000</v>
      </c>
      <c r="U135" s="28" t="inlineStr">
        <is>
          <t>9.0/10</t>
        </is>
      </c>
      <c r="V135" s="24" t="inlineStr">
        <is>
          <t xml:space="preserve"> • Superb real-world fuel economy
 • Smooth electric-gas power handover
 • No range anxiety on long trips</t>
        </is>
      </c>
      <c r="W135" s="25" t="inlineStr">
        <is>
          <t xml:space="preserve"> • Added curb weight from battery packs
 • Slightly compromised cargo space
 • eCVT engine flare during passing</t>
        </is>
      </c>
      <c r="X135" s="26" t="inlineStr">
        <is>
          <t>A finely engineered mild hybrid mid-size suv coupe striking the optimal balance between high efficiency and long-distance practicality.</t>
        </is>
      </c>
      <c r="Y135" s="27" t="inlineStr">
        <is>
          <t>https://hips.hearstapps.com/hmg-prod/images/2026-genesis-gv80.jpg</t>
        </is>
      </c>
      <c r="Z135" s="27" t="inlineStr">
        <is>
          <t>https://www.caranddriver.com/genesis/gv80-coupe</t>
        </is>
      </c>
      <c r="AA135" s="17" t="inlineStr">
        <is>
          <t>Car and Driver Buyer's Guide</t>
        </is>
      </c>
    </row>
    <row r="136" ht="48" customHeight="1">
      <c r="A136" s="4" t="n">
        <v>2026</v>
      </c>
      <c r="B136" s="5" t="inlineStr">
        <is>
          <t>GMC</t>
        </is>
      </c>
      <c r="C136" s="5" t="inlineStr">
        <is>
          <t>Canyon</t>
        </is>
      </c>
      <c r="D136" s="5" t="inlineStr">
        <is>
          <t>AT4X AEV Edition</t>
        </is>
      </c>
      <c r="E136" s="5" t="inlineStr">
        <is>
          <t>Mid-Size Off-Road Truck</t>
        </is>
      </c>
      <c r="F136" s="5" t="inlineStr">
        <is>
          <t>Gasoline</t>
        </is>
      </c>
      <c r="G136" s="6" t="n">
        <v>58000</v>
      </c>
      <c r="H136" s="7" t="n">
        <v>310</v>
      </c>
      <c r="I136" s="7" t="n">
        <v>430</v>
      </c>
      <c r="J136" s="5" t="inlineStr">
        <is>
          <t>2.7L TurboMax High-Output I4</t>
        </is>
      </c>
      <c r="K136" s="8" t="n">
        <v>2.7</v>
      </c>
      <c r="L136" s="4" t="n">
        <v>4</v>
      </c>
      <c r="M136" s="5" t="inlineStr">
        <is>
          <t>8-Speed Auto</t>
        </is>
      </c>
      <c r="N136" s="4" t="inlineStr">
        <is>
          <t>4WD w/ Lockers</t>
        </is>
      </c>
      <c r="O136" s="4" t="inlineStr">
        <is>
          <t>16 (16/16)</t>
        </is>
      </c>
      <c r="P136" s="4" t="inlineStr">
        <is>
          <t>N/A</t>
        </is>
      </c>
      <c r="Q136" s="9" t="inlineStr">
        <is>
          <t>N/A</t>
        </is>
      </c>
      <c r="R136" s="4" t="n">
        <v>5</v>
      </c>
      <c r="S136" s="10" t="n">
        <v>41.9</v>
      </c>
      <c r="T136" s="7" t="n">
        <v>5500</v>
      </c>
      <c r="U136" s="11" t="inlineStr">
        <is>
          <t>9.0/10</t>
        </is>
      </c>
      <c r="V136" s="12" t="inlineStr">
        <is>
          <t xml:space="preserve"> • Robust payload and towing capabilities
 • Durable bed and tailgate features
 • High ground clearance</t>
        </is>
      </c>
      <c r="W136" s="13" t="inlineStr">
        <is>
          <t xml:space="preserve"> • Stiffer unladen ride quality
 • Challenging to park in urban garages
 • Higher fuel costs</t>
        </is>
      </c>
      <c r="X136" s="14" t="inlineStr">
        <is>
          <t>A capable and rugged mid-size off-road truck designed for serious work duty, hauling, and outdoor recreation.</t>
        </is>
      </c>
      <c r="Y136" s="15" t="inlineStr">
        <is>
          <t>https://hips.hearstapps.com/hmg-prod/images/2026-gmc-canyon.jpg</t>
        </is>
      </c>
      <c r="Z136" s="15" t="inlineStr">
        <is>
          <t>https://www.caranddriver.com/gmc/canyon</t>
        </is>
      </c>
      <c r="AA136" s="5" t="inlineStr">
        <is>
          <t>Car and Driver Editors' Choice</t>
        </is>
      </c>
    </row>
    <row r="137" ht="48" customHeight="1">
      <c r="A137" s="16" t="n">
        <v>2026</v>
      </c>
      <c r="B137" s="17" t="inlineStr">
        <is>
          <t>GMC</t>
        </is>
      </c>
      <c r="C137" s="17" t="inlineStr">
        <is>
          <t>Sierra 1500</t>
        </is>
      </c>
      <c r="D137" s="17" t="inlineStr">
        <is>
          <t>Denali Ultimate Crew Cab</t>
        </is>
      </c>
      <c r="E137" s="17" t="inlineStr">
        <is>
          <t>Full-Size Luxury Truck</t>
        </is>
      </c>
      <c r="F137" s="17" t="inlineStr">
        <is>
          <t>Gasoline</t>
        </is>
      </c>
      <c r="G137" s="18" t="n">
        <v>84995</v>
      </c>
      <c r="H137" s="19" t="n">
        <v>420</v>
      </c>
      <c r="I137" s="19" t="n">
        <v>460</v>
      </c>
      <c r="J137" s="17" t="inlineStr">
        <is>
          <t>6.2L EcoTec3 V8</t>
        </is>
      </c>
      <c r="K137" s="20" t="n">
        <v>6.2</v>
      </c>
      <c r="L137" s="16" t="n">
        <v>8</v>
      </c>
      <c r="M137" s="17" t="inlineStr">
        <is>
          <t>10-Speed Auto</t>
        </is>
      </c>
      <c r="N137" s="16" t="inlineStr">
        <is>
          <t>4WD</t>
        </is>
      </c>
      <c r="O137" s="16" t="inlineStr">
        <is>
          <t>16 (15/19)</t>
        </is>
      </c>
      <c r="P137" s="16" t="inlineStr">
        <is>
          <t>N/A</t>
        </is>
      </c>
      <c r="Q137" s="21" t="inlineStr">
        <is>
          <t>N/A</t>
        </is>
      </c>
      <c r="R137" s="16" t="n">
        <v>5</v>
      </c>
      <c r="S137" s="22" t="n">
        <v>62.9</v>
      </c>
      <c r="T137" s="19" t="n">
        <v>8900</v>
      </c>
      <c r="U137" s="28" t="inlineStr">
        <is>
          <t>8.5/10</t>
        </is>
      </c>
      <c r="V137" s="24" t="inlineStr">
        <is>
          <t xml:space="preserve"> • Class-leading towing and hauling brawn
 • Palatial crew cab seating and storage
 • Intuitive cabin switchgear</t>
        </is>
      </c>
      <c r="W137" s="25" t="inlineStr">
        <is>
          <t xml:space="preserve"> • Large exterior dimensions in tight parking
 • Thirsty when loaded
 • Top trims push into luxury car pricing</t>
        </is>
      </c>
      <c r="X137" s="26" t="inlineStr">
        <is>
          <t>The backbone of American transportation, offering effortless hauling capability and luxury cabin appointments.</t>
        </is>
      </c>
      <c r="Y137" s="27" t="inlineStr">
        <is>
          <t>https://hips.hearstapps.com/hmg-prod/images/2026-gmc-sierra-1500.jpg</t>
        </is>
      </c>
      <c r="Z137" s="27" t="inlineStr">
        <is>
          <t>https://www.caranddriver.com/gmc/sierra-1500</t>
        </is>
      </c>
      <c r="AA137" s="17" t="inlineStr">
        <is>
          <t>Car and Driver Buyer's Guide</t>
        </is>
      </c>
    </row>
    <row r="138" ht="48" customHeight="1">
      <c r="A138" s="4" t="n">
        <v>2026</v>
      </c>
      <c r="B138" s="5" t="inlineStr">
        <is>
          <t>GMC</t>
        </is>
      </c>
      <c r="C138" s="5" t="inlineStr">
        <is>
          <t>Sierra EV</t>
        </is>
      </c>
      <c r="D138" s="5" t="inlineStr">
        <is>
          <t>Denali Edition 1</t>
        </is>
      </c>
      <c r="E138" s="5" t="inlineStr">
        <is>
          <t>Full-Size Luxury EV Truck</t>
        </is>
      </c>
      <c r="F138" s="5" t="inlineStr">
        <is>
          <t>Electric</t>
        </is>
      </c>
      <c r="G138" s="6" t="n">
        <v>99495</v>
      </c>
      <c r="H138" s="7" t="n">
        <v>754</v>
      </c>
      <c r="I138" s="7" t="n">
        <v>785</v>
      </c>
      <c r="J138" s="5" t="inlineStr">
        <is>
          <t>Dual Ultium Electric Motors</t>
        </is>
      </c>
      <c r="K138" s="4" t="inlineStr">
        <is>
          <t>N/A</t>
        </is>
      </c>
      <c r="L138" s="4" t="n">
        <v>0</v>
      </c>
      <c r="M138" s="5" t="inlineStr">
        <is>
          <t>1-Speed Direct</t>
        </is>
      </c>
      <c r="N138" s="4" t="inlineStr">
        <is>
          <t>eAWD</t>
        </is>
      </c>
      <c r="O138" s="4" t="inlineStr">
        <is>
          <t>67 MPGe</t>
        </is>
      </c>
      <c r="P138" s="4" t="inlineStr">
        <is>
          <t>440</t>
        </is>
      </c>
      <c r="Q138" s="10" t="n">
        <v>205</v>
      </c>
      <c r="R138" s="4" t="n">
        <v>5</v>
      </c>
      <c r="S138" s="10" t="n">
        <v>57.7</v>
      </c>
      <c r="T138" s="7" t="n">
        <v>10000</v>
      </c>
      <c r="U138" s="11" t="inlineStr">
        <is>
          <t>9.0/10</t>
        </is>
      </c>
      <c r="V138" s="12" t="inlineStr">
        <is>
          <t xml:space="preserve"> • Massive instant electric torque
 • Innovative front frunk storage
 • Vehicle-to-home export power</t>
        </is>
      </c>
      <c r="W138" s="13" t="inlineStr">
        <is>
          <t xml:space="preserve"> • Significant range reduction while towing
 • DC fast-charging infrastructure bottlenecks
 • Heavy curb weight</t>
        </is>
      </c>
      <c r="X138" s="14" t="inlineStr">
        <is>
          <t>Revolutionary electric utility that transforms work sites and family travel when towing demands are modest.</t>
        </is>
      </c>
      <c r="Y138" s="15" t="inlineStr">
        <is>
          <t>https://hips.hearstapps.com/hmg-prod/images/2026-gmc-sierra-ev.jpg</t>
        </is>
      </c>
      <c r="Z138" s="15" t="inlineStr">
        <is>
          <t>https://www.caranddriver.com/gmc/sierra-ev</t>
        </is>
      </c>
      <c r="AA138" s="5" t="inlineStr">
        <is>
          <t>Car and Driver First Look</t>
        </is>
      </c>
    </row>
    <row r="139" ht="48" customHeight="1">
      <c r="A139" s="16" t="n">
        <v>2026</v>
      </c>
      <c r="B139" s="17" t="inlineStr">
        <is>
          <t>GMC</t>
        </is>
      </c>
      <c r="C139" s="17" t="inlineStr">
        <is>
          <t>Sierra 2500HD</t>
        </is>
      </c>
      <c r="D139" s="17" t="inlineStr">
        <is>
          <t>Denali Ultimate Duramax</t>
        </is>
      </c>
      <c r="E139" s="17" t="inlineStr">
        <is>
          <t>Heavy-Duty Luxury Truck</t>
        </is>
      </c>
      <c r="F139" s="17" t="inlineStr">
        <is>
          <t>Gasoline</t>
        </is>
      </c>
      <c r="G139" s="18" t="n">
        <v>94000</v>
      </c>
      <c r="H139" s="19" t="n">
        <v>470</v>
      </c>
      <c r="I139" s="19" t="n">
        <v>975</v>
      </c>
      <c r="J139" s="17" t="inlineStr">
        <is>
          <t>6.6L Duramax Turbo-Diesel V8</t>
        </is>
      </c>
      <c r="K139" s="20" t="n">
        <v>6.6</v>
      </c>
      <c r="L139" s="16" t="n">
        <v>8</v>
      </c>
      <c r="M139" s="17" t="inlineStr">
        <is>
          <t>10-Speed Allison Auto</t>
        </is>
      </c>
      <c r="N139" s="16" t="inlineStr">
        <is>
          <t>4WD</t>
        </is>
      </c>
      <c r="O139" s="16" t="inlineStr">
        <is>
          <t>14 (Est)</t>
        </is>
      </c>
      <c r="P139" s="16" t="inlineStr">
        <is>
          <t>N/A</t>
        </is>
      </c>
      <c r="Q139" s="21" t="inlineStr">
        <is>
          <t>N/A</t>
        </is>
      </c>
      <c r="R139" s="16" t="n">
        <v>5</v>
      </c>
      <c r="S139" s="22" t="n">
        <v>69.5</v>
      </c>
      <c r="T139" s="19" t="n">
        <v>21900</v>
      </c>
      <c r="U139" s="28" t="inlineStr">
        <is>
          <t>8.5/10</t>
        </is>
      </c>
      <c r="V139" s="24" t="inlineStr">
        <is>
          <t xml:space="preserve"> • Class-leading towing and hauling brawn
 • Palatial crew cab seating and storage
 • Intuitive cabin switchgear</t>
        </is>
      </c>
      <c r="W139" s="25" t="inlineStr">
        <is>
          <t xml:space="preserve"> • Large exterior dimensions in tight parking
 • Thirsty when loaded
 • Top trims push into luxury car pricing</t>
        </is>
      </c>
      <c r="X139" s="26" t="inlineStr">
        <is>
          <t>The backbone of American transportation, offering effortless hauling capability and luxury cabin appointments.</t>
        </is>
      </c>
      <c r="Y139" s="27" t="inlineStr">
        <is>
          <t>https://hips.hearstapps.com/hmg-prod/images/2026-gmc-sierra-2500hd.jpg</t>
        </is>
      </c>
      <c r="Z139" s="27" t="inlineStr">
        <is>
          <t>https://www.caranddriver.com/gmc/sierra-2500hd</t>
        </is>
      </c>
      <c r="AA139" s="17" t="inlineStr">
        <is>
          <t>Car and Driver Buyer's Guide</t>
        </is>
      </c>
    </row>
    <row r="140" ht="48" customHeight="1">
      <c r="A140" s="4" t="n">
        <v>2026</v>
      </c>
      <c r="B140" s="5" t="inlineStr">
        <is>
          <t>GMC</t>
        </is>
      </c>
      <c r="C140" s="5" t="inlineStr">
        <is>
          <t>Terrain</t>
        </is>
      </c>
      <c r="D140" s="5" t="inlineStr">
        <is>
          <t>Elevation AWD</t>
        </is>
      </c>
      <c r="E140" s="5" t="inlineStr">
        <is>
          <t>Compact Crossover</t>
        </is>
      </c>
      <c r="F140" s="5" t="inlineStr">
        <is>
          <t>Gasoline</t>
        </is>
      </c>
      <c r="G140" s="6" t="n">
        <v>34000</v>
      </c>
      <c r="H140" s="7" t="n">
        <v>175</v>
      </c>
      <c r="I140" s="7" t="n">
        <v>203</v>
      </c>
      <c r="J140" s="5" t="inlineStr">
        <is>
          <t>1.5L Turbo I4</t>
        </is>
      </c>
      <c r="K140" s="8" t="n">
        <v>1.5</v>
      </c>
      <c r="L140" s="4" t="n">
        <v>4</v>
      </c>
      <c r="M140" s="5" t="inlineStr">
        <is>
          <t>8-Speed Auto</t>
        </is>
      </c>
      <c r="N140" s="4" t="inlineStr">
        <is>
          <t>AWD</t>
        </is>
      </c>
      <c r="O140" s="4" t="inlineStr">
        <is>
          <t>26 (24/29)</t>
        </is>
      </c>
      <c r="P140" s="4" t="inlineStr">
        <is>
          <t>N/A</t>
        </is>
      </c>
      <c r="Q140" s="9" t="inlineStr">
        <is>
          <t>N/A</t>
        </is>
      </c>
      <c r="R140" s="4" t="n">
        <v>5</v>
      </c>
      <c r="S140" s="10" t="n">
        <v>29.6</v>
      </c>
      <c r="T140" s="7" t="n">
        <v>1500</v>
      </c>
      <c r="U140" s="11" t="inlineStr">
        <is>
          <t>7.5/10</t>
        </is>
      </c>
      <c r="V140" s="12" t="inlineStr">
        <is>
          <t xml:space="preserve"> • Spacious passenger and cargo room
 • Commanding elevated driving position
 • Confidence-inspiring all-weather grip</t>
        </is>
      </c>
      <c r="W140" s="13" t="inlineStr">
        <is>
          <t xml:space="preserve"> • Higher center of gravity than sedans
 • Fuel consumption under heavy load
 • Less engaging steering feel</t>
        </is>
      </c>
      <c r="X140" s="14" t="inlineStr">
        <is>
          <t>A highly versatile compact crossover that delivers generous space, modern safety tech, and daily utility.</t>
        </is>
      </c>
      <c r="Y140" s="15" t="inlineStr">
        <is>
          <t>https://hips.hearstapps.com/hmg-prod/images/2026-gmc-terrain.jpg</t>
        </is>
      </c>
      <c r="Z140" s="15" t="inlineStr">
        <is>
          <t>https://www.caranddriver.com/gmc/terrain</t>
        </is>
      </c>
      <c r="AA140" s="5" t="inlineStr">
        <is>
          <t>Car and Driver Buyer's Guide</t>
        </is>
      </c>
    </row>
    <row r="141" ht="48" customHeight="1">
      <c r="A141" s="16" t="n">
        <v>2026</v>
      </c>
      <c r="B141" s="17" t="inlineStr">
        <is>
          <t>GMC</t>
        </is>
      </c>
      <c r="C141" s="17" t="inlineStr">
        <is>
          <t>Acadia</t>
        </is>
      </c>
      <c r="D141" s="17" t="inlineStr">
        <is>
          <t>Denali AWD</t>
        </is>
      </c>
      <c r="E141" s="17" t="inlineStr">
        <is>
          <t>3-Row Mid-Size SUV</t>
        </is>
      </c>
      <c r="F141" s="17" t="inlineStr">
        <is>
          <t>Gasoline</t>
        </is>
      </c>
      <c r="G141" s="18" t="n">
        <v>56000</v>
      </c>
      <c r="H141" s="19" t="n">
        <v>328</v>
      </c>
      <c r="I141" s="19" t="n">
        <v>326</v>
      </c>
      <c r="J141" s="17" t="inlineStr">
        <is>
          <t>2.5L Turbo I4</t>
        </is>
      </c>
      <c r="K141" s="20" t="n">
        <v>2.5</v>
      </c>
      <c r="L141" s="16" t="n">
        <v>4</v>
      </c>
      <c r="M141" s="17" t="inlineStr">
        <is>
          <t>8-Speed Auto</t>
        </is>
      </c>
      <c r="N141" s="16" t="inlineStr">
        <is>
          <t>AWD</t>
        </is>
      </c>
      <c r="O141" s="16" t="inlineStr">
        <is>
          <t>21 (19/24)</t>
        </is>
      </c>
      <c r="P141" s="16" t="inlineStr">
        <is>
          <t>N/A</t>
        </is>
      </c>
      <c r="Q141" s="21" t="inlineStr">
        <is>
          <t>N/A</t>
        </is>
      </c>
      <c r="R141" s="16" t="n">
        <v>7</v>
      </c>
      <c r="S141" s="22" t="n">
        <v>23</v>
      </c>
      <c r="T141" s="19" t="n">
        <v>5000</v>
      </c>
      <c r="U141" s="28" t="inlineStr">
        <is>
          <t>8.0/10</t>
        </is>
      </c>
      <c r="V141" s="24" t="inlineStr">
        <is>
          <t xml:space="preserve"> • Spacious passenger and cargo room
 • Commanding elevated driving position
 • Confidence-inspiring all-weather grip</t>
        </is>
      </c>
      <c r="W141" s="25" t="inlineStr">
        <is>
          <t xml:space="preserve"> • Higher center of gravity than sedans
 • Fuel consumption under heavy load
 • Less engaging steering feel</t>
        </is>
      </c>
      <c r="X141" s="26" t="inlineStr">
        <is>
          <t>A highly versatile 3-row mid-size suv that delivers generous space, modern safety tech, and daily utility.</t>
        </is>
      </c>
      <c r="Y141" s="27" t="inlineStr">
        <is>
          <t>https://hips.hearstapps.com/hmg-prod/images/2026-gmc-acadia.jpg</t>
        </is>
      </c>
      <c r="Z141" s="27" t="inlineStr">
        <is>
          <t>https://www.caranddriver.com/gmc/acadia</t>
        </is>
      </c>
      <c r="AA141" s="17" t="inlineStr">
        <is>
          <t>Car and Driver Buyer's Guide</t>
        </is>
      </c>
    </row>
    <row r="142" ht="48" customHeight="1">
      <c r="A142" s="4" t="n">
        <v>2026</v>
      </c>
      <c r="B142" s="5" t="inlineStr">
        <is>
          <t>GMC</t>
        </is>
      </c>
      <c r="C142" s="5" t="inlineStr">
        <is>
          <t>Yukon</t>
        </is>
      </c>
      <c r="D142" s="5" t="inlineStr">
        <is>
          <t>Denali Ultimate 4WD</t>
        </is>
      </c>
      <c r="E142" s="5" t="inlineStr">
        <is>
          <t>Full-Size Luxury 3-Row SUV</t>
        </is>
      </c>
      <c r="F142" s="5" t="inlineStr">
        <is>
          <t>Gasoline</t>
        </is>
      </c>
      <c r="G142" s="6" t="n">
        <v>98000</v>
      </c>
      <c r="H142" s="7" t="n">
        <v>420</v>
      </c>
      <c r="I142" s="7" t="n">
        <v>460</v>
      </c>
      <c r="J142" s="5" t="inlineStr">
        <is>
          <t>6.2L EcoTec3 V8</t>
        </is>
      </c>
      <c r="K142" s="8" t="n">
        <v>6.2</v>
      </c>
      <c r="L142" s="4" t="n">
        <v>8</v>
      </c>
      <c r="M142" s="5" t="inlineStr">
        <is>
          <t>10-Speed Auto</t>
        </is>
      </c>
      <c r="N142" s="4" t="inlineStr">
        <is>
          <t>4WD</t>
        </is>
      </c>
      <c r="O142" s="4" t="inlineStr">
        <is>
          <t>16 (14/18)</t>
        </is>
      </c>
      <c r="P142" s="4" t="inlineStr">
        <is>
          <t>N/A</t>
        </is>
      </c>
      <c r="Q142" s="9" t="inlineStr">
        <is>
          <t>N/A</t>
        </is>
      </c>
      <c r="R142" s="4" t="n">
        <v>7</v>
      </c>
      <c r="S142" s="10" t="n">
        <v>25.5</v>
      </c>
      <c r="T142" s="7" t="n">
        <v>8000</v>
      </c>
      <c r="U142" s="29" t="inlineStr">
        <is>
          <t>10/10</t>
        </is>
      </c>
      <c r="V142" s="12" t="inlineStr">
        <is>
          <t xml:space="preserve"> • Spacious passenger and cargo room
 • Commanding elevated driving position
 • Confidence-inspiring all-weather grip</t>
        </is>
      </c>
      <c r="W142" s="13" t="inlineStr">
        <is>
          <t xml:space="preserve"> • Higher center of gravity than sedans
 • Fuel consumption under heavy load
 • Less engaging steering feel</t>
        </is>
      </c>
      <c r="X142" s="14" t="inlineStr">
        <is>
          <t>A highly versatile full-size luxury 3-row suv that delivers generous space, modern safety tech, and daily utility.</t>
        </is>
      </c>
      <c r="Y142" s="15" t="inlineStr">
        <is>
          <t>https://hips.hearstapps.com/hmg-prod/images/2026-gmc-yukon.jpg</t>
        </is>
      </c>
      <c r="Z142" s="15" t="inlineStr">
        <is>
          <t>https://www.caranddriver.com/gmc/yukon</t>
        </is>
      </c>
      <c r="AA142" s="5" t="inlineStr">
        <is>
          <t>Car and Driver 10Best Winner</t>
        </is>
      </c>
    </row>
    <row r="143" ht="48" customHeight="1">
      <c r="A143" s="16" t="n">
        <v>2026</v>
      </c>
      <c r="B143" s="17" t="inlineStr">
        <is>
          <t>GMC</t>
        </is>
      </c>
      <c r="C143" s="17" t="inlineStr">
        <is>
          <t>Hummer EV</t>
        </is>
      </c>
      <c r="D143" s="17" t="inlineStr">
        <is>
          <t>3X Pickup</t>
        </is>
      </c>
      <c r="E143" s="17" t="inlineStr">
        <is>
          <t>Super Truck EV</t>
        </is>
      </c>
      <c r="F143" s="17" t="inlineStr">
        <is>
          <t>Electric</t>
        </is>
      </c>
      <c r="G143" s="18" t="n">
        <v>106945</v>
      </c>
      <c r="H143" s="19" t="n">
        <v>1000</v>
      </c>
      <c r="I143" s="19" t="n">
        <v>1200</v>
      </c>
      <c r="J143" s="17" t="inlineStr">
        <is>
          <t>3-Motor Electric Drive (CrabWalk)</t>
        </is>
      </c>
      <c r="K143" s="16" t="inlineStr">
        <is>
          <t>N/A</t>
        </is>
      </c>
      <c r="L143" s="16" t="n">
        <v>0</v>
      </c>
      <c r="M143" s="17" t="inlineStr">
        <is>
          <t>1-Speed Direct</t>
        </is>
      </c>
      <c r="N143" s="16" t="inlineStr">
        <is>
          <t>4WD</t>
        </is>
      </c>
      <c r="O143" s="16" t="inlineStr">
        <is>
          <t>53 MPGe</t>
        </is>
      </c>
      <c r="P143" s="16" t="inlineStr">
        <is>
          <t>381</t>
        </is>
      </c>
      <c r="Q143" s="22" t="n">
        <v>205</v>
      </c>
      <c r="R143" s="16" t="n">
        <v>5</v>
      </c>
      <c r="S143" s="22" t="n">
        <v>36.7</v>
      </c>
      <c r="T143" s="19" t="n">
        <v>8500</v>
      </c>
      <c r="U143" s="28" t="inlineStr">
        <is>
          <t>8.0/10</t>
        </is>
      </c>
      <c r="V143" s="24" t="inlineStr">
        <is>
          <t xml:space="preserve"> • Silent, instantaneous acceleration
 • Low center of gravity enhances stability
 • Zero tailpipe emissions</t>
        </is>
      </c>
      <c r="W143" s="25" t="inlineStr">
        <is>
          <t xml:space="preserve"> • Highway range drops at sustained speed
 • Public charging network variability
 • Pricier initial purchase cost</t>
        </is>
      </c>
      <c r="X143" s="26" t="inlineStr">
        <is>
          <t>A compelling electric entry in the super truck ev segment offering smooth power delivery and advanced tech.</t>
        </is>
      </c>
      <c r="Y143" s="27" t="inlineStr">
        <is>
          <t>https://hips.hearstapps.com/hmg-prod/images/2026-gmc-hummer-ev.jpg</t>
        </is>
      </c>
      <c r="Z143" s="27" t="inlineStr">
        <is>
          <t>https://www.caranddriver.com/gmc/hummer-ev</t>
        </is>
      </c>
      <c r="AA143" s="17" t="inlineStr">
        <is>
          <t>Car and Driver Tested</t>
        </is>
      </c>
    </row>
    <row r="144" ht="48" customHeight="1">
      <c r="A144" s="4" t="n">
        <v>2026</v>
      </c>
      <c r="B144" s="5" t="inlineStr">
        <is>
          <t>Honda</t>
        </is>
      </c>
      <c r="C144" s="5" t="inlineStr">
        <is>
          <t>Civic</t>
        </is>
      </c>
      <c r="D144" s="5" t="inlineStr">
        <is>
          <t>Sport Hybrid Sedan</t>
        </is>
      </c>
      <c r="E144" s="5" t="inlineStr">
        <is>
          <t>Compact Sedan</t>
        </is>
      </c>
      <c r="F144" s="5" t="inlineStr">
        <is>
          <t>Gas-Electric Hybrid</t>
        </is>
      </c>
      <c r="G144" s="6" t="n">
        <v>29845</v>
      </c>
      <c r="H144" s="7" t="n">
        <v>200</v>
      </c>
      <c r="I144" s="7" t="n">
        <v>232</v>
      </c>
      <c r="J144" s="5" t="inlineStr">
        <is>
          <t>2.0L Atkinson I4 + Motors</t>
        </is>
      </c>
      <c r="K144" s="8" t="n">
        <v>2</v>
      </c>
      <c r="L144" s="4" t="n">
        <v>4</v>
      </c>
      <c r="M144" s="5" t="inlineStr">
        <is>
          <t>eCVT Direct</t>
        </is>
      </c>
      <c r="N144" s="4" t="inlineStr">
        <is>
          <t>FWD</t>
        </is>
      </c>
      <c r="O144" s="4" t="inlineStr">
        <is>
          <t>49 (50/47)</t>
        </is>
      </c>
      <c r="P144" s="4" t="inlineStr">
        <is>
          <t>N/A</t>
        </is>
      </c>
      <c r="Q144" s="10" t="n">
        <v>1.05</v>
      </c>
      <c r="R144" s="4" t="n">
        <v>5</v>
      </c>
      <c r="S144" s="10" t="n">
        <v>14.8</v>
      </c>
      <c r="T144" s="4" t="inlineStr">
        <is>
          <t>N/A</t>
        </is>
      </c>
      <c r="U144" s="29" t="inlineStr">
        <is>
          <t>10/10</t>
        </is>
      </c>
      <c r="V144" s="12" t="inlineStr">
        <is>
          <t xml:space="preserve"> • Sensational 50-mpg fuel efficiency
 • Punchy instantaneous torque response
 • Class-above interior refinement</t>
        </is>
      </c>
      <c r="W144" s="13" t="inlineStr">
        <is>
          <t xml:space="preserve"> • No manual gearbox option
 • Slight road noise on concrete highways
 • Pricier than entry base trims</t>
        </is>
      </c>
      <c r="X144" s="14" t="inlineStr">
        <is>
          <t>A Car and Driver 10Best winner that makes electrification feel completely natural, refined, and fun.</t>
        </is>
      </c>
      <c r="Y144" s="15" t="inlineStr">
        <is>
          <t>https://hips.hearstapps.com/hmg-prod/images/2026-honda-civic.jpg</t>
        </is>
      </c>
      <c r="Z144" s="15" t="inlineStr">
        <is>
          <t>https://www.caranddriver.com/honda/civic</t>
        </is>
      </c>
      <c r="AA144" s="5" t="inlineStr">
        <is>
          <t>Car and Driver 10Best Winner</t>
        </is>
      </c>
    </row>
    <row r="145" ht="48" customHeight="1">
      <c r="A145" s="16" t="n">
        <v>2026</v>
      </c>
      <c r="B145" s="17" t="inlineStr">
        <is>
          <t>Honda</t>
        </is>
      </c>
      <c r="C145" s="17" t="inlineStr">
        <is>
          <t>Civic</t>
        </is>
      </c>
      <c r="D145" s="17" t="inlineStr">
        <is>
          <t>Type R Touring</t>
        </is>
      </c>
      <c r="E145" s="17" t="inlineStr">
        <is>
          <t>Hot Hatchback</t>
        </is>
      </c>
      <c r="F145" s="17" t="inlineStr">
        <is>
          <t>Gasoline</t>
        </is>
      </c>
      <c r="G145" s="18" t="n">
        <v>46690</v>
      </c>
      <c r="H145" s="19" t="n">
        <v>315</v>
      </c>
      <c r="I145" s="19" t="n">
        <v>310</v>
      </c>
      <c r="J145" s="17" t="inlineStr">
        <is>
          <t>2.0L Turbo VTEC I4</t>
        </is>
      </c>
      <c r="K145" s="20" t="n">
        <v>2</v>
      </c>
      <c r="L145" s="16" t="n">
        <v>4</v>
      </c>
      <c r="M145" s="17" t="inlineStr">
        <is>
          <t>6-Speed Manual</t>
        </is>
      </c>
      <c r="N145" s="16" t="inlineStr">
        <is>
          <t>FWD</t>
        </is>
      </c>
      <c r="O145" s="16" t="inlineStr">
        <is>
          <t>24 (22/28)</t>
        </is>
      </c>
      <c r="P145" s="16" t="inlineStr">
        <is>
          <t>N/A</t>
        </is>
      </c>
      <c r="Q145" s="21" t="inlineStr">
        <is>
          <t>N/A</t>
        </is>
      </c>
      <c r="R145" s="16" t="n">
        <v>4</v>
      </c>
      <c r="S145" s="22" t="n">
        <v>24.5</v>
      </c>
      <c r="T145" s="16" t="inlineStr">
        <is>
          <t>N/A</t>
        </is>
      </c>
      <c r="U145" s="23" t="inlineStr">
        <is>
          <t>10/10</t>
        </is>
      </c>
      <c r="V145" s="24" t="inlineStr">
        <is>
          <t xml:space="preserve"> • One of the finest manual shifters ever made
 • Superb front-axle traction and diff
 • Genuine track stamina</t>
        </is>
      </c>
      <c r="W145" s="25" t="inlineStr">
        <is>
          <t xml:space="preserve"> • Loud highway cabin boom
 • Polarizing rear wing styling
 • Firm ride over potholed pavement</t>
        </is>
      </c>
      <c r="X145" s="26" t="inlineStr">
        <is>
          <t>The reigning king of hot hatchbacks delivers uncompromising driving engagement.</t>
        </is>
      </c>
      <c r="Y145" s="27" t="inlineStr">
        <is>
          <t>https://hips.hearstapps.com/hmg-prod/images/2026-honda-civic.jpg</t>
        </is>
      </c>
      <c r="Z145" s="27" t="inlineStr">
        <is>
          <t>https://www.caranddriver.com/honda/civic-type-r</t>
        </is>
      </c>
      <c r="AA145" s="17" t="inlineStr">
        <is>
          <t>Car and Driver 10Best Winner</t>
        </is>
      </c>
    </row>
    <row r="146" ht="48" customHeight="1">
      <c r="A146" s="4" t="n">
        <v>2026</v>
      </c>
      <c r="B146" s="5" t="inlineStr">
        <is>
          <t>Honda</t>
        </is>
      </c>
      <c r="C146" s="5" t="inlineStr">
        <is>
          <t>Accord</t>
        </is>
      </c>
      <c r="D146" s="5" t="inlineStr">
        <is>
          <t>Touring Hybrid</t>
        </is>
      </c>
      <c r="E146" s="5" t="inlineStr">
        <is>
          <t>Mid-Size Sedan</t>
        </is>
      </c>
      <c r="F146" s="5" t="inlineStr">
        <is>
          <t>Gas-Electric Hybrid</t>
        </is>
      </c>
      <c r="G146" s="6" t="n">
        <v>39995</v>
      </c>
      <c r="H146" s="7" t="n">
        <v>204</v>
      </c>
      <c r="I146" s="7" t="n">
        <v>247</v>
      </c>
      <c r="J146" s="5" t="inlineStr">
        <is>
          <t>2.0L Atkinson I4 + Motors</t>
        </is>
      </c>
      <c r="K146" s="8" t="n">
        <v>2</v>
      </c>
      <c r="L146" s="4" t="n">
        <v>4</v>
      </c>
      <c r="M146" s="5" t="inlineStr">
        <is>
          <t>eCVT Direct</t>
        </is>
      </c>
      <c r="N146" s="4" t="inlineStr">
        <is>
          <t>FWD</t>
        </is>
      </c>
      <c r="O146" s="4" t="inlineStr">
        <is>
          <t>44 (46/41)</t>
        </is>
      </c>
      <c r="P146" s="4" t="inlineStr">
        <is>
          <t>N/A</t>
        </is>
      </c>
      <c r="Q146" s="10" t="n">
        <v>1.05</v>
      </c>
      <c r="R146" s="4" t="n">
        <v>5</v>
      </c>
      <c r="S146" s="10" t="n">
        <v>16.7</v>
      </c>
      <c r="T146" s="4" t="inlineStr">
        <is>
          <t>N/A</t>
        </is>
      </c>
      <c r="U146" s="29" t="inlineStr">
        <is>
          <t>10/10</t>
        </is>
      </c>
      <c r="V146" s="12" t="inlineStr">
        <is>
          <t xml:space="preserve"> • Superb real-world fuel economy
 • Smooth electric-gas power handover
 • No range anxiety on long trips</t>
        </is>
      </c>
      <c r="W146" s="13" t="inlineStr">
        <is>
          <t xml:space="preserve"> • Added curb weight from battery packs
 • Slightly compromised cargo space
 • eCVT engine flare during passing</t>
        </is>
      </c>
      <c r="X146" s="14" t="inlineStr">
        <is>
          <t>A finely engineered gas-electric hybrid mid-size sedan striking the optimal balance between high efficiency and long-distance practicality.</t>
        </is>
      </c>
      <c r="Y146" s="15" t="inlineStr">
        <is>
          <t>https://hips.hearstapps.com/hmg-prod/images/2026-honda-accord.jpg</t>
        </is>
      </c>
      <c r="Z146" s="15" t="inlineStr">
        <is>
          <t>https://www.caranddriver.com/honda/accord</t>
        </is>
      </c>
      <c r="AA146" s="5" t="inlineStr">
        <is>
          <t>Car and Driver 10Best Winner</t>
        </is>
      </c>
    </row>
    <row r="147" ht="48" customHeight="1">
      <c r="A147" s="16" t="n">
        <v>2026</v>
      </c>
      <c r="B147" s="17" t="inlineStr">
        <is>
          <t>Honda</t>
        </is>
      </c>
      <c r="C147" s="17" t="inlineStr">
        <is>
          <t>HR-V</t>
        </is>
      </c>
      <c r="D147" s="17" t="inlineStr">
        <is>
          <t>EX-L AWD</t>
        </is>
      </c>
      <c r="E147" s="17" t="inlineStr">
        <is>
          <t>Subcompact Crossover</t>
        </is>
      </c>
      <c r="F147" s="17" t="inlineStr">
        <is>
          <t>Gasoline</t>
        </is>
      </c>
      <c r="G147" s="18" t="n">
        <v>31000</v>
      </c>
      <c r="H147" s="19" t="n">
        <v>158</v>
      </c>
      <c r="I147" s="19" t="n">
        <v>138</v>
      </c>
      <c r="J147" s="17" t="inlineStr">
        <is>
          <t>2.0L DOHC 16V I4</t>
        </is>
      </c>
      <c r="K147" s="20" t="n">
        <v>2</v>
      </c>
      <c r="L147" s="16" t="n">
        <v>4</v>
      </c>
      <c r="M147" s="17" t="inlineStr">
        <is>
          <t>CVT</t>
        </is>
      </c>
      <c r="N147" s="16" t="inlineStr">
        <is>
          <t>Real Time AWD</t>
        </is>
      </c>
      <c r="O147" s="16" t="inlineStr">
        <is>
          <t>27 (25/30)</t>
        </is>
      </c>
      <c r="P147" s="16" t="inlineStr">
        <is>
          <t>N/A</t>
        </is>
      </c>
      <c r="Q147" s="21" t="inlineStr">
        <is>
          <t>N/A</t>
        </is>
      </c>
      <c r="R147" s="16" t="n">
        <v>5</v>
      </c>
      <c r="S147" s="22" t="n">
        <v>24.4</v>
      </c>
      <c r="T147" s="16" t="inlineStr">
        <is>
          <t>N/A</t>
        </is>
      </c>
      <c r="U147" s="28" t="inlineStr">
        <is>
          <t>8.0/10</t>
        </is>
      </c>
      <c r="V147" s="24" t="inlineStr">
        <is>
          <t xml:space="preserve"> • Spacious passenger and cargo room
 • Commanding elevated driving position
 • Confidence-inspiring all-weather grip</t>
        </is>
      </c>
      <c r="W147" s="25" t="inlineStr">
        <is>
          <t xml:space="preserve"> • Higher center of gravity than sedans
 • Fuel consumption under heavy load
 • Less engaging steering feel</t>
        </is>
      </c>
      <c r="X147" s="26" t="inlineStr">
        <is>
          <t>A highly versatile subcompact crossover that delivers generous space, modern safety tech, and daily utility.</t>
        </is>
      </c>
      <c r="Y147" s="27" t="inlineStr">
        <is>
          <t>https://hips.hearstapps.com/hmg-prod/images/2026-honda-hr-v.jpg</t>
        </is>
      </c>
      <c r="Z147" s="27" t="inlineStr">
        <is>
          <t>https://www.caranddriver.com/honda/hr-v</t>
        </is>
      </c>
      <c r="AA147" s="17" t="inlineStr">
        <is>
          <t>Car and Driver Buyer's Guide</t>
        </is>
      </c>
    </row>
    <row r="148" ht="48" customHeight="1">
      <c r="A148" s="4" t="n">
        <v>2026</v>
      </c>
      <c r="B148" s="5" t="inlineStr">
        <is>
          <t>Honda</t>
        </is>
      </c>
      <c r="C148" s="5" t="inlineStr">
        <is>
          <t>CR-V</t>
        </is>
      </c>
      <c r="D148" s="5" t="inlineStr">
        <is>
          <t>Sport-L Hybrid</t>
        </is>
      </c>
      <c r="E148" s="5" t="inlineStr">
        <is>
          <t>Compact Crossover</t>
        </is>
      </c>
      <c r="F148" s="5" t="inlineStr">
        <is>
          <t>Gas-Electric Hybrid</t>
        </is>
      </c>
      <c r="G148" s="6" t="n">
        <v>38800</v>
      </c>
      <c r="H148" s="7" t="n">
        <v>204</v>
      </c>
      <c r="I148" s="7" t="n">
        <v>247</v>
      </c>
      <c r="J148" s="5" t="inlineStr">
        <is>
          <t>2.0L Atkinson I4 + Motors</t>
        </is>
      </c>
      <c r="K148" s="8" t="n">
        <v>2</v>
      </c>
      <c r="L148" s="4" t="n">
        <v>4</v>
      </c>
      <c r="M148" s="5" t="inlineStr">
        <is>
          <t>eCVT Direct</t>
        </is>
      </c>
      <c r="N148" s="4" t="inlineStr">
        <is>
          <t>AWD</t>
        </is>
      </c>
      <c r="O148" s="4" t="inlineStr">
        <is>
          <t>37 (40/34)</t>
        </is>
      </c>
      <c r="P148" s="4" t="inlineStr">
        <is>
          <t>N/A</t>
        </is>
      </c>
      <c r="Q148" s="10" t="n">
        <v>1.05</v>
      </c>
      <c r="R148" s="4" t="n">
        <v>5</v>
      </c>
      <c r="S148" s="10" t="n">
        <v>39.3</v>
      </c>
      <c r="T148" s="7" t="n">
        <v>1000</v>
      </c>
      <c r="U148" s="29" t="inlineStr">
        <is>
          <t>10/10</t>
        </is>
      </c>
      <c r="V148" s="12" t="inlineStr">
        <is>
          <t xml:space="preserve"> • Superb real-world fuel economy
 • Smooth electric-gas power handover
 • No range anxiety on long trips</t>
        </is>
      </c>
      <c r="W148" s="13" t="inlineStr">
        <is>
          <t xml:space="preserve"> • Added curb weight from battery packs
 • Slightly compromised cargo space
 • eCVT engine flare during passing</t>
        </is>
      </c>
      <c r="X148" s="14" t="inlineStr">
        <is>
          <t>A finely engineered gas-electric hybrid compact crossover striking the optimal balance between high efficiency and long-distance practicality.</t>
        </is>
      </c>
      <c r="Y148" s="15" t="inlineStr">
        <is>
          <t>https://hips.hearstapps.com/hmg-prod/images/2026-honda-cr-v.jpg</t>
        </is>
      </c>
      <c r="Z148" s="15" t="inlineStr">
        <is>
          <t>https://www.caranddriver.com/honda/cr-v</t>
        </is>
      </c>
      <c r="AA148" s="5" t="inlineStr">
        <is>
          <t>Car and Driver 10Best Winner</t>
        </is>
      </c>
    </row>
    <row r="149" ht="48" customHeight="1">
      <c r="A149" s="16" t="n">
        <v>2026</v>
      </c>
      <c r="B149" s="17" t="inlineStr">
        <is>
          <t>Honda</t>
        </is>
      </c>
      <c r="C149" s="17" t="inlineStr">
        <is>
          <t>Passport</t>
        </is>
      </c>
      <c r="D149" s="17" t="inlineStr">
        <is>
          <t>Trailsport AWD</t>
        </is>
      </c>
      <c r="E149" s="17" t="inlineStr">
        <is>
          <t>Mid-Size Rugged SUV</t>
        </is>
      </c>
      <c r="F149" s="17" t="inlineStr">
        <is>
          <t>Gasoline</t>
        </is>
      </c>
      <c r="G149" s="18" t="n">
        <v>46500</v>
      </c>
      <c r="H149" s="19" t="n">
        <v>285</v>
      </c>
      <c r="I149" s="19" t="n">
        <v>262</v>
      </c>
      <c r="J149" s="17" t="inlineStr">
        <is>
          <t>3.5L DOHC 24V V6</t>
        </is>
      </c>
      <c r="K149" s="20" t="n">
        <v>3.5</v>
      </c>
      <c r="L149" s="16" t="n">
        <v>6</v>
      </c>
      <c r="M149" s="17" t="inlineStr">
        <is>
          <t>10-Speed Auto</t>
        </is>
      </c>
      <c r="N149" s="16" t="inlineStr">
        <is>
          <t>i-VTM4 Torque Vectoring</t>
        </is>
      </c>
      <c r="O149" s="16" t="inlineStr">
        <is>
          <t>21 (19/24)</t>
        </is>
      </c>
      <c r="P149" s="16" t="inlineStr">
        <is>
          <t>N/A</t>
        </is>
      </c>
      <c r="Q149" s="21" t="inlineStr">
        <is>
          <t>N/A</t>
        </is>
      </c>
      <c r="R149" s="16" t="n">
        <v>5</v>
      </c>
      <c r="S149" s="22" t="n">
        <v>41.2</v>
      </c>
      <c r="T149" s="19" t="n">
        <v>5000</v>
      </c>
      <c r="U149" s="23" t="inlineStr">
        <is>
          <t>10/10</t>
        </is>
      </c>
      <c r="V149" s="24" t="inlineStr">
        <is>
          <t xml:space="preserve"> • Spacious passenger and cargo room
 • Commanding elevated driving position
 • Confidence-inspiring all-weather grip</t>
        </is>
      </c>
      <c r="W149" s="25" t="inlineStr">
        <is>
          <t xml:space="preserve"> • Higher center of gravity than sedans
 • Fuel consumption under heavy load
 • Less engaging steering feel</t>
        </is>
      </c>
      <c r="X149" s="26" t="inlineStr">
        <is>
          <t>A highly versatile mid-size rugged suv that delivers generous space, modern safety tech, and daily utility.</t>
        </is>
      </c>
      <c r="Y149" s="27" t="inlineStr">
        <is>
          <t>https://hips.hearstapps.com/hmg-prod/images/2026-honda-passport.jpg</t>
        </is>
      </c>
      <c r="Z149" s="27" t="inlineStr">
        <is>
          <t>https://www.caranddriver.com/honda/passport</t>
        </is>
      </c>
      <c r="AA149" s="17" t="inlineStr">
        <is>
          <t>Car and Driver 10Best Winner</t>
        </is>
      </c>
    </row>
    <row r="150" ht="48" customHeight="1">
      <c r="A150" s="4" t="n">
        <v>2026</v>
      </c>
      <c r="B150" s="5" t="inlineStr">
        <is>
          <t>Honda</t>
        </is>
      </c>
      <c r="C150" s="5" t="inlineStr">
        <is>
          <t>Pilot</t>
        </is>
      </c>
      <c r="D150" s="5" t="inlineStr">
        <is>
          <t>Elite AWD</t>
        </is>
      </c>
      <c r="E150" s="5" t="inlineStr">
        <is>
          <t>3-Row Mid-Size SUV</t>
        </is>
      </c>
      <c r="F150" s="5" t="inlineStr">
        <is>
          <t>Gasoline</t>
        </is>
      </c>
      <c r="G150" s="6" t="n">
        <v>54375</v>
      </c>
      <c r="H150" s="7" t="n">
        <v>285</v>
      </c>
      <c r="I150" s="7" t="n">
        <v>262</v>
      </c>
      <c r="J150" s="5" t="inlineStr">
        <is>
          <t>3.5L DOHC 24V V6</t>
        </is>
      </c>
      <c r="K150" s="8" t="n">
        <v>3.5</v>
      </c>
      <c r="L150" s="4" t="n">
        <v>6</v>
      </c>
      <c r="M150" s="5" t="inlineStr">
        <is>
          <t>10-Speed Auto</t>
        </is>
      </c>
      <c r="N150" s="4" t="inlineStr">
        <is>
          <t>i-VTM4 AWD</t>
        </is>
      </c>
      <c r="O150" s="4" t="inlineStr">
        <is>
          <t>21 (19/25)</t>
        </is>
      </c>
      <c r="P150" s="4" t="inlineStr">
        <is>
          <t>N/A</t>
        </is>
      </c>
      <c r="Q150" s="9" t="inlineStr">
        <is>
          <t>N/A</t>
        </is>
      </c>
      <c r="R150" s="4" t="n">
        <v>8</v>
      </c>
      <c r="S150" s="10" t="n">
        <v>18.6</v>
      </c>
      <c r="T150" s="7" t="n">
        <v>5000</v>
      </c>
      <c r="U150" s="11" t="inlineStr">
        <is>
          <t>8.5/10</t>
        </is>
      </c>
      <c r="V150" s="12" t="inlineStr">
        <is>
          <t xml:space="preserve"> • Spacious passenger and cargo room
 • Commanding elevated driving position
 • Confidence-inspiring all-weather grip</t>
        </is>
      </c>
      <c r="W150" s="13" t="inlineStr">
        <is>
          <t xml:space="preserve"> • Higher center of gravity than sedans
 • Fuel consumption under heavy load
 • Less engaging steering feel</t>
        </is>
      </c>
      <c r="X150" s="14" t="inlineStr">
        <is>
          <t>A highly versatile 3-row mid-size suv that delivers generous space, modern safety tech, and daily utility.</t>
        </is>
      </c>
      <c r="Y150" s="15" t="inlineStr">
        <is>
          <t>https://hips.hearstapps.com/hmg-prod/images/2026-honda-pilot.jpg</t>
        </is>
      </c>
      <c r="Z150" s="15" t="inlineStr">
        <is>
          <t>https://www.caranddriver.com/honda/pilot</t>
        </is>
      </c>
      <c r="AA150" s="5" t="inlineStr">
        <is>
          <t>Car and Driver Buyer's Guide</t>
        </is>
      </c>
    </row>
    <row r="151" ht="48" customHeight="1">
      <c r="A151" s="16" t="n">
        <v>2026</v>
      </c>
      <c r="B151" s="17" t="inlineStr">
        <is>
          <t>Honda</t>
        </is>
      </c>
      <c r="C151" s="17" t="inlineStr">
        <is>
          <t>Ridgeline</t>
        </is>
      </c>
      <c r="D151" s="17" t="inlineStr">
        <is>
          <t>Black Edition AWD</t>
        </is>
      </c>
      <c r="E151" s="17" t="inlineStr">
        <is>
          <t>Mid-Size Unibody Pickup</t>
        </is>
      </c>
      <c r="F151" s="17" t="inlineStr">
        <is>
          <t>Gasoline</t>
        </is>
      </c>
      <c r="G151" s="18" t="n">
        <v>48500</v>
      </c>
      <c r="H151" s="19" t="n">
        <v>280</v>
      </c>
      <c r="I151" s="19" t="n">
        <v>262</v>
      </c>
      <c r="J151" s="17" t="inlineStr">
        <is>
          <t>3.5L VTEC V6</t>
        </is>
      </c>
      <c r="K151" s="20" t="n">
        <v>3.5</v>
      </c>
      <c r="L151" s="16" t="n">
        <v>6</v>
      </c>
      <c r="M151" s="17" t="inlineStr">
        <is>
          <t>9-Speed Auto</t>
        </is>
      </c>
      <c r="N151" s="16" t="inlineStr">
        <is>
          <t>i-VTM4 AWD</t>
        </is>
      </c>
      <c r="O151" s="16" t="inlineStr">
        <is>
          <t>21 (18/24)</t>
        </is>
      </c>
      <c r="P151" s="16" t="inlineStr">
        <is>
          <t>N/A</t>
        </is>
      </c>
      <c r="Q151" s="21" t="inlineStr">
        <is>
          <t>N/A</t>
        </is>
      </c>
      <c r="R151" s="16" t="n">
        <v>5</v>
      </c>
      <c r="S151" s="22" t="n">
        <v>33.9</v>
      </c>
      <c r="T151" s="19" t="n">
        <v>5000</v>
      </c>
      <c r="U151" s="28" t="inlineStr">
        <is>
          <t>8.5/10</t>
        </is>
      </c>
      <c r="V151" s="24" t="inlineStr">
        <is>
          <t xml:space="preserve"> • Robust payload and towing capabilities
 • Durable bed and tailgate features
 • High ground clearance</t>
        </is>
      </c>
      <c r="W151" s="25" t="inlineStr">
        <is>
          <t xml:space="preserve"> • Stiffer unladen ride quality
 • Challenging to park in urban garages
 • Higher fuel costs</t>
        </is>
      </c>
      <c r="X151" s="26" t="inlineStr">
        <is>
          <t>A capable and rugged mid-size unibody pickup designed for serious work duty, hauling, and outdoor recreation.</t>
        </is>
      </c>
      <c r="Y151" s="27" t="inlineStr">
        <is>
          <t>https://hips.hearstapps.com/hmg-prod/images/2026-honda-ridgeline.jpg</t>
        </is>
      </c>
      <c r="Z151" s="27" t="inlineStr">
        <is>
          <t>https://www.caranddriver.com/honda/ridgeline</t>
        </is>
      </c>
      <c r="AA151" s="17" t="inlineStr">
        <is>
          <t>Car and Driver Editors' Choice</t>
        </is>
      </c>
    </row>
    <row r="152" ht="48" customHeight="1">
      <c r="A152" s="4" t="n">
        <v>2026</v>
      </c>
      <c r="B152" s="5" t="inlineStr">
        <is>
          <t>Honda</t>
        </is>
      </c>
      <c r="C152" s="5" t="inlineStr">
        <is>
          <t>Odyssey</t>
        </is>
      </c>
      <c r="D152" s="5" t="inlineStr">
        <is>
          <t>Elite</t>
        </is>
      </c>
      <c r="E152" s="5" t="inlineStr">
        <is>
          <t>Minivan</t>
        </is>
      </c>
      <c r="F152" s="5" t="inlineStr">
        <is>
          <t>Gasoline</t>
        </is>
      </c>
      <c r="G152" s="6" t="n">
        <v>52000</v>
      </c>
      <c r="H152" s="7" t="n">
        <v>280</v>
      </c>
      <c r="I152" s="7" t="n">
        <v>262</v>
      </c>
      <c r="J152" s="5" t="inlineStr">
        <is>
          <t>3.5L VTEC V6</t>
        </is>
      </c>
      <c r="K152" s="8" t="n">
        <v>3.5</v>
      </c>
      <c r="L152" s="4" t="n">
        <v>6</v>
      </c>
      <c r="M152" s="5" t="inlineStr">
        <is>
          <t>10-Speed Auto</t>
        </is>
      </c>
      <c r="N152" s="4" t="inlineStr">
        <is>
          <t>FWD</t>
        </is>
      </c>
      <c r="O152" s="4" t="inlineStr">
        <is>
          <t>22 (19/28)</t>
        </is>
      </c>
      <c r="P152" s="4" t="inlineStr">
        <is>
          <t>N/A</t>
        </is>
      </c>
      <c r="Q152" s="9" t="inlineStr">
        <is>
          <t>N/A</t>
        </is>
      </c>
      <c r="R152" s="4" t="n">
        <v>8</v>
      </c>
      <c r="S152" s="10" t="n">
        <v>32.8</v>
      </c>
      <c r="T152" s="7" t="n">
        <v>3500</v>
      </c>
      <c r="U152" s="11" t="inlineStr">
        <is>
          <t>9.0/10</t>
        </is>
      </c>
      <c r="V152" s="12" t="inlineStr">
        <is>
          <t xml:space="preserve"> • Refined performance and chassis poise
 • Comfortable ergonomic cabin
 • Comprehensive safety suite</t>
        </is>
      </c>
      <c r="W152" s="13" t="inlineStr">
        <is>
          <t xml:space="preserve"> • Firm ride on optional large wheels
 • Option packages add up quickly
 • Infotainment learning curve</t>
        </is>
      </c>
      <c r="X152" s="14" t="inlineStr">
        <is>
          <t>A solid, well-rounded contender in the US minivan class with competitive dynamics.</t>
        </is>
      </c>
      <c r="Y152" s="15" t="inlineStr">
        <is>
          <t>https://hips.hearstapps.com/hmg-prod/images/2026-honda-odyssey.jpg</t>
        </is>
      </c>
      <c r="Z152" s="15" t="inlineStr">
        <is>
          <t>https://www.caranddriver.com/honda/odyssey</t>
        </is>
      </c>
      <c r="AA152" s="5" t="inlineStr">
        <is>
          <t>Car and Driver Editors' Choice</t>
        </is>
      </c>
    </row>
    <row r="153" ht="48" customHeight="1">
      <c r="A153" s="16" t="n">
        <v>2026</v>
      </c>
      <c r="B153" s="17" t="inlineStr">
        <is>
          <t>Honda</t>
        </is>
      </c>
      <c r="C153" s="17" t="inlineStr">
        <is>
          <t>Prologue</t>
        </is>
      </c>
      <c r="D153" s="17" t="inlineStr">
        <is>
          <t>Elite AWD</t>
        </is>
      </c>
      <c r="E153" s="17" t="inlineStr">
        <is>
          <t>Mid-Size EV SUV</t>
        </is>
      </c>
      <c r="F153" s="17" t="inlineStr">
        <is>
          <t>Electric</t>
        </is>
      </c>
      <c r="G153" s="18" t="n">
        <v>59295</v>
      </c>
      <c r="H153" s="19" t="n">
        <v>288</v>
      </c>
      <c r="I153" s="19" t="n">
        <v>333</v>
      </c>
      <c r="J153" s="17" t="inlineStr">
        <is>
          <t>Dual Electric Motors</t>
        </is>
      </c>
      <c r="K153" s="16" t="inlineStr">
        <is>
          <t>N/A</t>
        </is>
      </c>
      <c r="L153" s="16" t="n">
        <v>0</v>
      </c>
      <c r="M153" s="17" t="inlineStr">
        <is>
          <t>1-Speed Direct</t>
        </is>
      </c>
      <c r="N153" s="16" t="inlineStr">
        <is>
          <t>AWD</t>
        </is>
      </c>
      <c r="O153" s="16" t="inlineStr">
        <is>
          <t>92 MPGe</t>
        </is>
      </c>
      <c r="P153" s="16" t="inlineStr">
        <is>
          <t>273</t>
        </is>
      </c>
      <c r="Q153" s="22" t="n">
        <v>85</v>
      </c>
      <c r="R153" s="16" t="n">
        <v>5</v>
      </c>
      <c r="S153" s="22" t="n">
        <v>25.2</v>
      </c>
      <c r="T153" s="19" t="n">
        <v>1500</v>
      </c>
      <c r="U153" s="28" t="inlineStr">
        <is>
          <t>8.0/10</t>
        </is>
      </c>
      <c r="V153" s="24" t="inlineStr">
        <is>
          <t xml:space="preserve"> • Silent, instantaneous acceleration
 • Low center of gravity enhances stability
 • Zero tailpipe emissions</t>
        </is>
      </c>
      <c r="W153" s="25" t="inlineStr">
        <is>
          <t xml:space="preserve"> • Highway range drops at sustained speed
 • Public charging network variability
 • Pricier initial purchase cost</t>
        </is>
      </c>
      <c r="X153" s="26" t="inlineStr">
        <is>
          <t>A compelling electric entry in the mid-size ev suv segment offering smooth power delivery and advanced tech.</t>
        </is>
      </c>
      <c r="Y153" s="27" t="inlineStr">
        <is>
          <t>https://hips.hearstapps.com/hmg-prod/images/2026-honda-prologue.jpg</t>
        </is>
      </c>
      <c r="Z153" s="27" t="inlineStr">
        <is>
          <t>https://www.caranddriver.com/honda/prologue</t>
        </is>
      </c>
      <c r="AA153" s="17" t="inlineStr">
        <is>
          <t>Car and Driver Buyer's Guide</t>
        </is>
      </c>
    </row>
    <row r="154" ht="48" customHeight="1">
      <c r="A154" s="4" t="n">
        <v>2026</v>
      </c>
      <c r="B154" s="5" t="inlineStr">
        <is>
          <t>Hyundai</t>
        </is>
      </c>
      <c r="C154" s="5" t="inlineStr">
        <is>
          <t>Elantra</t>
        </is>
      </c>
      <c r="D154" s="5" t="inlineStr">
        <is>
          <t>N Sedan 6MT</t>
        </is>
      </c>
      <c r="E154" s="5" t="inlineStr">
        <is>
          <t>Compact Sport Sedan</t>
        </is>
      </c>
      <c r="F154" s="5" t="inlineStr">
        <is>
          <t>Gasoline</t>
        </is>
      </c>
      <c r="G154" s="6" t="n">
        <v>35100</v>
      </c>
      <c r="H154" s="7" t="n">
        <v>276</v>
      </c>
      <c r="I154" s="7" t="n">
        <v>289</v>
      </c>
      <c r="J154" s="5" t="inlineStr">
        <is>
          <t>2.0L Turbo I4</t>
        </is>
      </c>
      <c r="K154" s="8" t="n">
        <v>2</v>
      </c>
      <c r="L154" s="4" t="n">
        <v>4</v>
      </c>
      <c r="M154" s="5" t="inlineStr">
        <is>
          <t>6-Speed Manual</t>
        </is>
      </c>
      <c r="N154" s="4" t="inlineStr">
        <is>
          <t>FWD</t>
        </is>
      </c>
      <c r="O154" s="4" t="inlineStr">
        <is>
          <t>24 (21/29)</t>
        </is>
      </c>
      <c r="P154" s="4" t="inlineStr">
        <is>
          <t>N/A</t>
        </is>
      </c>
      <c r="Q154" s="9" t="inlineStr">
        <is>
          <t>N/A</t>
        </is>
      </c>
      <c r="R154" s="4" t="n">
        <v>5</v>
      </c>
      <c r="S154" s="10" t="n">
        <v>14.2</v>
      </c>
      <c r="T154" s="4" t="inlineStr">
        <is>
          <t>N/A</t>
        </is>
      </c>
      <c r="U154" s="29" t="inlineStr">
        <is>
          <t>10/10</t>
        </is>
      </c>
      <c r="V154" s="12" t="inlineStr">
        <is>
          <t xml:space="preserve"> • Sharper handling dynamics than taller SUVs
 • Superior highway fuel economy
 • Easy maneuvering in urban spaces</t>
        </is>
      </c>
      <c r="W154" s="13" t="inlineStr">
        <is>
          <t xml:space="preserve"> • Less cargo flexibility than crossovers
 • Lower seating hip point for ingress
 • Fewer AWD options</t>
        </is>
      </c>
      <c r="X154" s="14" t="inlineStr">
        <is>
          <t>A well-proportioned compact sport sedan offering superior driving manners and efficiency over conventional crossovers.</t>
        </is>
      </c>
      <c r="Y154" s="15" t="inlineStr">
        <is>
          <t>https://hips.hearstapps.com/hmg-prod/images/2026-hyundai-elantra.jpg</t>
        </is>
      </c>
      <c r="Z154" s="15" t="inlineStr">
        <is>
          <t>https://www.caranddriver.com/hyundai/elantra-n</t>
        </is>
      </c>
      <c r="AA154" s="5" t="inlineStr">
        <is>
          <t>Car and Driver 10Best Winner</t>
        </is>
      </c>
    </row>
    <row r="155" ht="48" customHeight="1">
      <c r="A155" s="16" t="n">
        <v>2026</v>
      </c>
      <c r="B155" s="17" t="inlineStr">
        <is>
          <t>Hyundai</t>
        </is>
      </c>
      <c r="C155" s="17" t="inlineStr">
        <is>
          <t>Sonata</t>
        </is>
      </c>
      <c r="D155" s="17" t="inlineStr">
        <is>
          <t>Limited Hybrid</t>
        </is>
      </c>
      <c r="E155" s="17" t="inlineStr">
        <is>
          <t>Mid-Size Sedan</t>
        </is>
      </c>
      <c r="F155" s="17" t="inlineStr">
        <is>
          <t>Gas-Electric Hybrid</t>
        </is>
      </c>
      <c r="G155" s="18" t="n">
        <v>38500</v>
      </c>
      <c r="H155" s="19" t="n">
        <v>192</v>
      </c>
      <c r="I155" s="19" t="n">
        <v>151</v>
      </c>
      <c r="J155" s="17" t="inlineStr">
        <is>
          <t>2.0L I4 + Motor</t>
        </is>
      </c>
      <c r="K155" s="20" t="n">
        <v>2</v>
      </c>
      <c r="L155" s="16" t="n">
        <v>4</v>
      </c>
      <c r="M155" s="17" t="inlineStr">
        <is>
          <t>6-Speed Auto</t>
        </is>
      </c>
      <c r="N155" s="16" t="inlineStr">
        <is>
          <t>FWD</t>
        </is>
      </c>
      <c r="O155" s="16" t="inlineStr">
        <is>
          <t>47 (44/51)</t>
        </is>
      </c>
      <c r="P155" s="16" t="inlineStr">
        <is>
          <t>N/A</t>
        </is>
      </c>
      <c r="Q155" s="22" t="n">
        <v>1.62</v>
      </c>
      <c r="R155" s="16" t="n">
        <v>5</v>
      </c>
      <c r="S155" s="22" t="n">
        <v>16</v>
      </c>
      <c r="T155" s="16" t="inlineStr">
        <is>
          <t>N/A</t>
        </is>
      </c>
      <c r="U155" s="28" t="inlineStr">
        <is>
          <t>8.5/10</t>
        </is>
      </c>
      <c r="V155" s="24" t="inlineStr">
        <is>
          <t xml:space="preserve"> • Superb real-world fuel economy
 • Smooth electric-gas power handover
 • No range anxiety on long trips</t>
        </is>
      </c>
      <c r="W155" s="25" t="inlineStr">
        <is>
          <t xml:space="preserve"> • Added curb weight from battery packs
 • Slightly compromised cargo space
 • eCVT engine flare during passing</t>
        </is>
      </c>
      <c r="X155" s="26" t="inlineStr">
        <is>
          <t>A finely engineered gas-electric hybrid mid-size sedan striking the optimal balance between high efficiency and long-distance practicality.</t>
        </is>
      </c>
      <c r="Y155" s="27" t="inlineStr">
        <is>
          <t>https://hips.hearstapps.com/hmg-prod/images/2026-hyundai-sonata.jpg</t>
        </is>
      </c>
      <c r="Z155" s="27" t="inlineStr">
        <is>
          <t>https://www.caranddriver.com/hyundai/sonata</t>
        </is>
      </c>
      <c r="AA155" s="17" t="inlineStr">
        <is>
          <t>Car and Driver Buyer's Guide</t>
        </is>
      </c>
    </row>
    <row r="156" ht="48" customHeight="1">
      <c r="A156" s="4" t="n">
        <v>2026</v>
      </c>
      <c r="B156" s="5" t="inlineStr">
        <is>
          <t>Hyundai</t>
        </is>
      </c>
      <c r="C156" s="5" t="inlineStr">
        <is>
          <t>Venue</t>
        </is>
      </c>
      <c r="D156" s="5" t="inlineStr">
        <is>
          <t>Limited</t>
        </is>
      </c>
      <c r="E156" s="5" t="inlineStr">
        <is>
          <t>Subcompact Crossover</t>
        </is>
      </c>
      <c r="F156" s="5" t="inlineStr">
        <is>
          <t>Gasoline</t>
        </is>
      </c>
      <c r="G156" s="6" t="n">
        <v>24500</v>
      </c>
      <c r="H156" s="7" t="n">
        <v>121</v>
      </c>
      <c r="I156" s="7" t="n">
        <v>113</v>
      </c>
      <c r="J156" s="5" t="inlineStr">
        <is>
          <t>1.6L Smartstream I4</t>
        </is>
      </c>
      <c r="K156" s="8" t="n">
        <v>1.6</v>
      </c>
      <c r="L156" s="4" t="n">
        <v>4</v>
      </c>
      <c r="M156" s="5" t="inlineStr">
        <is>
          <t>IVT</t>
        </is>
      </c>
      <c r="N156" s="4" t="inlineStr">
        <is>
          <t>FWD</t>
        </is>
      </c>
      <c r="O156" s="4" t="inlineStr">
        <is>
          <t>31 (29/33)</t>
        </is>
      </c>
      <c r="P156" s="4" t="inlineStr">
        <is>
          <t>N/A</t>
        </is>
      </c>
      <c r="Q156" s="9" t="inlineStr">
        <is>
          <t>N/A</t>
        </is>
      </c>
      <c r="R156" s="4" t="n">
        <v>5</v>
      </c>
      <c r="S156" s="10" t="n">
        <v>18.7</v>
      </c>
      <c r="T156" s="4" t="inlineStr">
        <is>
          <t>N/A</t>
        </is>
      </c>
      <c r="U156" s="11" t="inlineStr">
        <is>
          <t>7.5/10</t>
        </is>
      </c>
      <c r="V156" s="12" t="inlineStr">
        <is>
          <t xml:space="preserve"> • Spacious passenger and cargo room
 • Commanding elevated driving position
 • Confidence-inspiring all-weather grip</t>
        </is>
      </c>
      <c r="W156" s="13" t="inlineStr">
        <is>
          <t xml:space="preserve"> • Higher center of gravity than sedans
 • Fuel consumption under heavy load
 • Less engaging steering feel</t>
        </is>
      </c>
      <c r="X156" s="14" t="inlineStr">
        <is>
          <t>A highly versatile subcompact crossover that delivers generous space, modern safety tech, and daily utility.</t>
        </is>
      </c>
      <c r="Y156" s="15" t="inlineStr">
        <is>
          <t>https://hips.hearstapps.com/hmg-prod/images/2026-hyundai-venue.jpg</t>
        </is>
      </c>
      <c r="Z156" s="15" t="inlineStr">
        <is>
          <t>https://www.caranddriver.com/hyundai/venue</t>
        </is>
      </c>
      <c r="AA156" s="5" t="inlineStr">
        <is>
          <t>Car and Driver Buyer's Guide</t>
        </is>
      </c>
    </row>
    <row r="157" ht="48" customHeight="1">
      <c r="A157" s="16" t="n">
        <v>2026</v>
      </c>
      <c r="B157" s="17" t="inlineStr">
        <is>
          <t>Hyundai</t>
        </is>
      </c>
      <c r="C157" s="17" t="inlineStr">
        <is>
          <t>Kona</t>
        </is>
      </c>
      <c r="D157" s="17" t="inlineStr">
        <is>
          <t>Limited AWD</t>
        </is>
      </c>
      <c r="E157" s="17" t="inlineStr">
        <is>
          <t>Subcompact Crossover</t>
        </is>
      </c>
      <c r="F157" s="17" t="inlineStr">
        <is>
          <t>Gasoline</t>
        </is>
      </c>
      <c r="G157" s="18" t="n">
        <v>33500</v>
      </c>
      <c r="H157" s="19" t="n">
        <v>190</v>
      </c>
      <c r="I157" s="19" t="n">
        <v>195</v>
      </c>
      <c r="J157" s="17" t="inlineStr">
        <is>
          <t>1.6L Turbo I4</t>
        </is>
      </c>
      <c r="K157" s="20" t="n">
        <v>1.6</v>
      </c>
      <c r="L157" s="16" t="n">
        <v>4</v>
      </c>
      <c r="M157" s="17" t="inlineStr">
        <is>
          <t>8-Speed Auto</t>
        </is>
      </c>
      <c r="N157" s="16" t="inlineStr">
        <is>
          <t>HTRAC AWD</t>
        </is>
      </c>
      <c r="O157" s="16" t="inlineStr">
        <is>
          <t>26 (24/29)</t>
        </is>
      </c>
      <c r="P157" s="16" t="inlineStr">
        <is>
          <t>N/A</t>
        </is>
      </c>
      <c r="Q157" s="21" t="inlineStr">
        <is>
          <t>N/A</t>
        </is>
      </c>
      <c r="R157" s="16" t="n">
        <v>5</v>
      </c>
      <c r="S157" s="22" t="n">
        <v>25.5</v>
      </c>
      <c r="T157" s="16" t="inlineStr">
        <is>
          <t>N/A</t>
        </is>
      </c>
      <c r="U157" s="28" t="inlineStr">
        <is>
          <t>8.5/10</t>
        </is>
      </c>
      <c r="V157" s="24" t="inlineStr">
        <is>
          <t xml:space="preserve"> • Spacious passenger and cargo room
 • Commanding elevated driving position
 • Confidence-inspiring all-weather grip</t>
        </is>
      </c>
      <c r="W157" s="25" t="inlineStr">
        <is>
          <t xml:space="preserve"> • Higher center of gravity than sedans
 • Fuel consumption under heavy load
 • Less engaging steering feel</t>
        </is>
      </c>
      <c r="X157" s="26" t="inlineStr">
        <is>
          <t>A highly versatile subcompact crossover that delivers generous space, modern safety tech, and daily utility.</t>
        </is>
      </c>
      <c r="Y157" s="27" t="inlineStr">
        <is>
          <t>https://hips.hearstapps.com/hmg-prod/images/2026-hyundai-kona.jpg</t>
        </is>
      </c>
      <c r="Z157" s="27" t="inlineStr">
        <is>
          <t>https://www.caranddriver.com/hyundai/kona</t>
        </is>
      </c>
      <c r="AA157" s="17" t="inlineStr">
        <is>
          <t>Car and Driver Editors' Choice</t>
        </is>
      </c>
    </row>
    <row r="158" ht="48" customHeight="1">
      <c r="A158" s="4" t="n">
        <v>2026</v>
      </c>
      <c r="B158" s="5" t="inlineStr">
        <is>
          <t>Hyundai</t>
        </is>
      </c>
      <c r="C158" s="5" t="inlineStr">
        <is>
          <t>Kona Electric</t>
        </is>
      </c>
      <c r="D158" s="5" t="inlineStr">
        <is>
          <t>Limited</t>
        </is>
      </c>
      <c r="E158" s="5" t="inlineStr">
        <is>
          <t>Subcompact EV Crossover</t>
        </is>
      </c>
      <c r="F158" s="5" t="inlineStr">
        <is>
          <t>Electric</t>
        </is>
      </c>
      <c r="G158" s="6" t="n">
        <v>42500</v>
      </c>
      <c r="H158" s="7" t="n">
        <v>201</v>
      </c>
      <c r="I158" s="7" t="n">
        <v>188</v>
      </c>
      <c r="J158" s="5" t="inlineStr">
        <is>
          <t>Front Electric Motor</t>
        </is>
      </c>
      <c r="K158" s="4" t="inlineStr">
        <is>
          <t>N/A</t>
        </is>
      </c>
      <c r="L158" s="4" t="n">
        <v>0</v>
      </c>
      <c r="M158" s="5" t="inlineStr">
        <is>
          <t>1-Speed Direct</t>
        </is>
      </c>
      <c r="N158" s="4" t="inlineStr">
        <is>
          <t>FWD</t>
        </is>
      </c>
      <c r="O158" s="4" t="inlineStr">
        <is>
          <t>116 MPGe</t>
        </is>
      </c>
      <c r="P158" s="4" t="inlineStr">
        <is>
          <t>261</t>
        </is>
      </c>
      <c r="Q158" s="10" t="n">
        <v>64.8</v>
      </c>
      <c r="R158" s="4" t="n">
        <v>5</v>
      </c>
      <c r="S158" s="10" t="n">
        <v>25.5</v>
      </c>
      <c r="T158" s="4" t="inlineStr">
        <is>
          <t>N/A</t>
        </is>
      </c>
      <c r="U158" s="11" t="inlineStr">
        <is>
          <t>8.5/10</t>
        </is>
      </c>
      <c r="V158" s="12" t="inlineStr">
        <is>
          <t xml:space="preserve"> • Silent, instantaneous acceleration
 • Low center of gravity enhances stability
 • Zero tailpipe emissions</t>
        </is>
      </c>
      <c r="W158" s="13" t="inlineStr">
        <is>
          <t xml:space="preserve"> • Highway range drops at sustained speed
 • Public charging network variability
 • Pricier initial purchase cost</t>
        </is>
      </c>
      <c r="X158" s="14" t="inlineStr">
        <is>
          <t>A compelling electric entry in the subcompact ev crossover segment offering smooth power delivery and advanced tech.</t>
        </is>
      </c>
      <c r="Y158" s="15" t="inlineStr">
        <is>
          <t>https://hips.hearstapps.com/hmg-prod/images/2026-hyundai-kona-electric.jpg</t>
        </is>
      </c>
      <c r="Z158" s="15" t="inlineStr">
        <is>
          <t>https://www.caranddriver.com/hyundai/kona-electric</t>
        </is>
      </c>
      <c r="AA158" s="5" t="inlineStr">
        <is>
          <t>Car and Driver Buyer's Guide</t>
        </is>
      </c>
    </row>
    <row r="159" ht="48" customHeight="1">
      <c r="A159" s="16" t="n">
        <v>2026</v>
      </c>
      <c r="B159" s="17" t="inlineStr">
        <is>
          <t>Hyundai</t>
        </is>
      </c>
      <c r="C159" s="17" t="inlineStr">
        <is>
          <t>Tucson</t>
        </is>
      </c>
      <c r="D159" s="17" t="inlineStr">
        <is>
          <t>Limited Hybrid AWD</t>
        </is>
      </c>
      <c r="E159" s="17" t="inlineStr">
        <is>
          <t>Compact Hybrid SUV</t>
        </is>
      </c>
      <c r="F159" s="17" t="inlineStr">
        <is>
          <t>Gas-Electric Hybrid</t>
        </is>
      </c>
      <c r="G159" s="18" t="n">
        <v>41000</v>
      </c>
      <c r="H159" s="19" t="n">
        <v>231</v>
      </c>
      <c r="I159" s="19" t="n">
        <v>271</v>
      </c>
      <c r="J159" s="17" t="inlineStr">
        <is>
          <t>1.6L Turbo I4 + Motor</t>
        </is>
      </c>
      <c r="K159" s="20" t="n">
        <v>1.6</v>
      </c>
      <c r="L159" s="16" t="n">
        <v>4</v>
      </c>
      <c r="M159" s="17" t="inlineStr">
        <is>
          <t>6-Speed Auto</t>
        </is>
      </c>
      <c r="N159" s="16" t="inlineStr">
        <is>
          <t>HTRAC AWD</t>
        </is>
      </c>
      <c r="O159" s="16" t="inlineStr">
        <is>
          <t>37 (37/36)</t>
        </is>
      </c>
      <c r="P159" s="16" t="inlineStr">
        <is>
          <t>N/A</t>
        </is>
      </c>
      <c r="Q159" s="22" t="n">
        <v>1.49</v>
      </c>
      <c r="R159" s="16" t="n">
        <v>5</v>
      </c>
      <c r="S159" s="22" t="n">
        <v>38.7</v>
      </c>
      <c r="T159" s="19" t="n">
        <v>2000</v>
      </c>
      <c r="U159" s="28" t="inlineStr">
        <is>
          <t>9.0/10</t>
        </is>
      </c>
      <c r="V159" s="24" t="inlineStr">
        <is>
          <t xml:space="preserve"> • Superb real-world fuel economy
 • Smooth electric-gas power handover
 • No range anxiety on long trips</t>
        </is>
      </c>
      <c r="W159" s="25" t="inlineStr">
        <is>
          <t xml:space="preserve"> • Added curb weight from battery packs
 • Slightly compromised cargo space
 • eCVT engine flare during passing</t>
        </is>
      </c>
      <c r="X159" s="26" t="inlineStr">
        <is>
          <t>A finely engineered gas-electric hybrid compact hybrid suv striking the optimal balance between high efficiency and long-distance practicality.</t>
        </is>
      </c>
      <c r="Y159" s="27" t="inlineStr">
        <is>
          <t>https://hips.hearstapps.com/hmg-prod/images/2026-hyundai-tucson.jpg</t>
        </is>
      </c>
      <c r="Z159" s="27" t="inlineStr">
        <is>
          <t>https://www.caranddriver.com/hyundai/tucson</t>
        </is>
      </c>
      <c r="AA159" s="17" t="inlineStr">
        <is>
          <t>Car and Driver Editors' Choice</t>
        </is>
      </c>
    </row>
    <row r="160" ht="48" customHeight="1">
      <c r="A160" s="4" t="n">
        <v>2026</v>
      </c>
      <c r="B160" s="5" t="inlineStr">
        <is>
          <t>Hyundai</t>
        </is>
      </c>
      <c r="C160" s="5" t="inlineStr">
        <is>
          <t>Santa Fe</t>
        </is>
      </c>
      <c r="D160" s="5" t="inlineStr">
        <is>
          <t>Calligraphy Hybrid</t>
        </is>
      </c>
      <c r="E160" s="5" t="inlineStr">
        <is>
          <t>Mid-Size 3-Row SUV</t>
        </is>
      </c>
      <c r="F160" s="5" t="inlineStr">
        <is>
          <t>Gas-Electric Hybrid</t>
        </is>
      </c>
      <c r="G160" s="6" t="n">
        <v>48800</v>
      </c>
      <c r="H160" s="7" t="n">
        <v>231</v>
      </c>
      <c r="I160" s="7" t="n">
        <v>271</v>
      </c>
      <c r="J160" s="5" t="inlineStr">
        <is>
          <t>1.6L Turbo I4 + Motor</t>
        </is>
      </c>
      <c r="K160" s="8" t="n">
        <v>1.6</v>
      </c>
      <c r="L160" s="4" t="n">
        <v>4</v>
      </c>
      <c r="M160" s="5" t="inlineStr">
        <is>
          <t>6-Speed Auto</t>
        </is>
      </c>
      <c r="N160" s="4" t="inlineStr">
        <is>
          <t>HTRAC AWD</t>
        </is>
      </c>
      <c r="O160" s="4" t="inlineStr">
        <is>
          <t>34 (35/34)</t>
        </is>
      </c>
      <c r="P160" s="4" t="inlineStr">
        <is>
          <t>N/A</t>
        </is>
      </c>
      <c r="Q160" s="10" t="n">
        <v>1.49</v>
      </c>
      <c r="R160" s="4" t="n">
        <v>6</v>
      </c>
      <c r="S160" s="10" t="n">
        <v>14.6</v>
      </c>
      <c r="T160" s="7" t="n">
        <v>2000</v>
      </c>
      <c r="U160" s="11" t="inlineStr">
        <is>
          <t>9.0/10</t>
        </is>
      </c>
      <c r="V160" s="12" t="inlineStr">
        <is>
          <t xml:space="preserve"> • Superb real-world fuel economy
 • Smooth electric-gas power handover
 • No range anxiety on long trips</t>
        </is>
      </c>
      <c r="W160" s="13" t="inlineStr">
        <is>
          <t xml:space="preserve"> • Added curb weight from battery packs
 • Slightly compromised cargo space
 • eCVT engine flare during passing</t>
        </is>
      </c>
      <c r="X160" s="14" t="inlineStr">
        <is>
          <t>A finely engineered gas-electric hybrid mid-size 3-row suv striking the optimal balance between high efficiency and long-distance practicality.</t>
        </is>
      </c>
      <c r="Y160" s="15" t="inlineStr">
        <is>
          <t>https://hips.hearstapps.com/hmg-prod/images/2026-hyundai-santa-fe.jpg</t>
        </is>
      </c>
      <c r="Z160" s="15" t="inlineStr">
        <is>
          <t>https://www.caranddriver.com/hyundai/santa-fe</t>
        </is>
      </c>
      <c r="AA160" s="5" t="inlineStr">
        <is>
          <t>Car and Driver 10Best Winner</t>
        </is>
      </c>
    </row>
    <row r="161" ht="48" customHeight="1">
      <c r="A161" s="16" t="n">
        <v>2026</v>
      </c>
      <c r="B161" s="17" t="inlineStr">
        <is>
          <t>Hyundai</t>
        </is>
      </c>
      <c r="C161" s="17" t="inlineStr">
        <is>
          <t>Palisade</t>
        </is>
      </c>
      <c r="D161" s="17" t="inlineStr">
        <is>
          <t>Calligraphy Hybrid (Next-Gen)</t>
        </is>
      </c>
      <c r="E161" s="17" t="inlineStr">
        <is>
          <t>3-Row Mid-Size SUV</t>
        </is>
      </c>
      <c r="F161" s="17" t="inlineStr">
        <is>
          <t>Gas-Electric Hybrid</t>
        </is>
      </c>
      <c r="G161" s="18" t="n">
        <v>54000</v>
      </c>
      <c r="H161" s="19" t="n">
        <v>300</v>
      </c>
      <c r="I161" s="19" t="n">
        <v>310</v>
      </c>
      <c r="J161" s="17" t="inlineStr">
        <is>
          <t>2.5L Turbo I4 Hybrid</t>
        </is>
      </c>
      <c r="K161" s="20" t="n">
        <v>2.5</v>
      </c>
      <c r="L161" s="16" t="n">
        <v>4</v>
      </c>
      <c r="M161" s="17" t="inlineStr">
        <is>
          <t>8-Speed Auto</t>
        </is>
      </c>
      <c r="N161" s="16" t="inlineStr">
        <is>
          <t>HTRAC AWD</t>
        </is>
      </c>
      <c r="O161" s="16" t="inlineStr">
        <is>
          <t>31 (30/32 Est)</t>
        </is>
      </c>
      <c r="P161" s="16" t="inlineStr">
        <is>
          <t>N/A</t>
        </is>
      </c>
      <c r="Q161" s="22" t="n">
        <v>1.8</v>
      </c>
      <c r="R161" s="16" t="n">
        <v>7</v>
      </c>
      <c r="S161" s="22" t="n">
        <v>18</v>
      </c>
      <c r="T161" s="19" t="n">
        <v>5000</v>
      </c>
      <c r="U161" s="23" t="inlineStr">
        <is>
          <t>10/10</t>
        </is>
      </c>
      <c r="V161" s="24" t="inlineStr">
        <is>
          <t xml:space="preserve"> • Superb real-world fuel economy
 • Smooth electric-gas power handover
 • No range anxiety on long trips</t>
        </is>
      </c>
      <c r="W161" s="25" t="inlineStr">
        <is>
          <t xml:space="preserve"> • Added curb weight from battery packs
 • Slightly compromised cargo space
 • eCVT engine flare during passing</t>
        </is>
      </c>
      <c r="X161" s="26" t="inlineStr">
        <is>
          <t>A finely engineered gas-electric hybrid 3-row mid-size suv striking the optimal balance between high efficiency and long-distance practicality.</t>
        </is>
      </c>
      <c r="Y161" s="27" t="inlineStr">
        <is>
          <t>https://hips.hearstapps.com/hmg-prod/images/2026-hyundai-palisade.jpg</t>
        </is>
      </c>
      <c r="Z161" s="27" t="inlineStr">
        <is>
          <t>https://www.caranddriver.com/hyundai/palisade</t>
        </is>
      </c>
      <c r="AA161" s="17" t="inlineStr">
        <is>
          <t>Car and Driver 10Best Winner</t>
        </is>
      </c>
    </row>
    <row r="162" ht="48" customHeight="1">
      <c r="A162" s="4" t="n">
        <v>2026</v>
      </c>
      <c r="B162" s="5" t="inlineStr">
        <is>
          <t>Hyundai</t>
        </is>
      </c>
      <c r="C162" s="5" t="inlineStr">
        <is>
          <t>Santa Cruz</t>
        </is>
      </c>
      <c r="D162" s="5" t="inlineStr">
        <is>
          <t>Limited AWD</t>
        </is>
      </c>
      <c r="E162" s="5" t="inlineStr">
        <is>
          <t>Compact Sport Truck</t>
        </is>
      </c>
      <c r="F162" s="5" t="inlineStr">
        <is>
          <t>Gasoline</t>
        </is>
      </c>
      <c r="G162" s="6" t="n">
        <v>43000</v>
      </c>
      <c r="H162" s="7" t="n">
        <v>281</v>
      </c>
      <c r="I162" s="7" t="n">
        <v>311</v>
      </c>
      <c r="J162" s="5" t="inlineStr">
        <is>
          <t>2.5L Turbo I4</t>
        </is>
      </c>
      <c r="K162" s="8" t="n">
        <v>2.5</v>
      </c>
      <c r="L162" s="4" t="n">
        <v>4</v>
      </c>
      <c r="M162" s="5" t="inlineStr">
        <is>
          <t>8-Speed Dual-Clutch</t>
        </is>
      </c>
      <c r="N162" s="4" t="inlineStr">
        <is>
          <t>HTRAC AWD</t>
        </is>
      </c>
      <c r="O162" s="4" t="inlineStr">
        <is>
          <t>22 (19/27)</t>
        </is>
      </c>
      <c r="P162" s="4" t="inlineStr">
        <is>
          <t>N/A</t>
        </is>
      </c>
      <c r="Q162" s="9" t="inlineStr">
        <is>
          <t>N/A</t>
        </is>
      </c>
      <c r="R162" s="4" t="n">
        <v>5</v>
      </c>
      <c r="S162" s="10" t="n">
        <v>27</v>
      </c>
      <c r="T162" s="7" t="n">
        <v>5000</v>
      </c>
      <c r="U162" s="11" t="inlineStr">
        <is>
          <t>8.5/10</t>
        </is>
      </c>
      <c r="V162" s="12" t="inlineStr">
        <is>
          <t xml:space="preserve"> • Robust payload and towing capabilities
 • Durable bed and tailgate features
 • High ground clearance</t>
        </is>
      </c>
      <c r="W162" s="13" t="inlineStr">
        <is>
          <t xml:space="preserve"> • Stiffer unladen ride quality
 • Challenging to park in urban garages
 • Higher fuel costs</t>
        </is>
      </c>
      <c r="X162" s="14" t="inlineStr">
        <is>
          <t>A capable and rugged compact sport truck designed for serious work duty, hauling, and outdoor recreation.</t>
        </is>
      </c>
      <c r="Y162" s="15" t="inlineStr">
        <is>
          <t>https://hips.hearstapps.com/hmg-prod/images/2026-hyundai-santa-cruz.jpg</t>
        </is>
      </c>
      <c r="Z162" s="15" t="inlineStr">
        <is>
          <t>https://www.caranddriver.com/hyundai/santa-cruz</t>
        </is>
      </c>
      <c r="AA162" s="5" t="inlineStr">
        <is>
          <t>Car and Driver Editors' Choice</t>
        </is>
      </c>
    </row>
    <row r="163" ht="48" customHeight="1">
      <c r="A163" s="16" t="n">
        <v>2026</v>
      </c>
      <c r="B163" s="17" t="inlineStr">
        <is>
          <t>Hyundai</t>
        </is>
      </c>
      <c r="C163" s="17" t="inlineStr">
        <is>
          <t>Ioniq 5</t>
        </is>
      </c>
      <c r="D163" s="17" t="inlineStr">
        <is>
          <t>XRT AWD</t>
        </is>
      </c>
      <c r="E163" s="17" t="inlineStr">
        <is>
          <t>Compact EV Crossover</t>
        </is>
      </c>
      <c r="F163" s="17" t="inlineStr">
        <is>
          <t>Electric</t>
        </is>
      </c>
      <c r="G163" s="18" t="n">
        <v>55400</v>
      </c>
      <c r="H163" s="19" t="n">
        <v>320</v>
      </c>
      <c r="I163" s="19" t="n">
        <v>446</v>
      </c>
      <c r="J163" s="17" t="inlineStr">
        <is>
          <t>Dual Permanent Magnet Motors</t>
        </is>
      </c>
      <c r="K163" s="16" t="inlineStr">
        <is>
          <t>N/A</t>
        </is>
      </c>
      <c r="L163" s="16" t="n">
        <v>0</v>
      </c>
      <c r="M163" s="17" t="inlineStr">
        <is>
          <t>1-Speed Direct</t>
        </is>
      </c>
      <c r="N163" s="16" t="inlineStr">
        <is>
          <t>HTRAC AWD</t>
        </is>
      </c>
      <c r="O163" s="16" t="inlineStr">
        <is>
          <t>98 MPGe</t>
        </is>
      </c>
      <c r="P163" s="16" t="inlineStr">
        <is>
          <t>250</t>
        </is>
      </c>
      <c r="Q163" s="22" t="n">
        <v>84</v>
      </c>
      <c r="R163" s="16" t="n">
        <v>5</v>
      </c>
      <c r="S163" s="22" t="n">
        <v>27.2</v>
      </c>
      <c r="T163" s="19" t="n">
        <v>2300</v>
      </c>
      <c r="U163" s="23" t="inlineStr">
        <is>
          <t>10/10</t>
        </is>
      </c>
      <c r="V163" s="24" t="inlineStr">
        <is>
          <t xml:space="preserve"> • Ultra-fast 800V DC fast-charging
 • Distinctive concept-car retro design
 • Vast, open interior architecture</t>
        </is>
      </c>
      <c r="W163" s="25" t="inlineStr">
        <is>
          <t xml:space="preserve"> • Rear wiper omitted on earlier models
 • Polarizing styling for some buyers
 • Real-world cold weather range drops</t>
        </is>
      </c>
      <c r="X163" s="26" t="inlineStr">
        <is>
          <t>Groundbreaking EV architecture with super-fast charging speeds and design that turns heads everywhere.</t>
        </is>
      </c>
      <c r="Y163" s="27" t="inlineStr">
        <is>
          <t>https://hips.hearstapps.com/hmg-prod/images/2026-hyundai-ioniq-5.jpg</t>
        </is>
      </c>
      <c r="Z163" s="27" t="inlineStr">
        <is>
          <t>https://www.caranddriver.com/hyundai/ioniq-5</t>
        </is>
      </c>
      <c r="AA163" s="17" t="inlineStr">
        <is>
          <t>Car and Driver EV of the Year &amp; 10Best</t>
        </is>
      </c>
    </row>
    <row r="164" ht="48" customHeight="1">
      <c r="A164" s="4" t="n">
        <v>2026</v>
      </c>
      <c r="B164" s="5" t="inlineStr">
        <is>
          <t>Hyundai</t>
        </is>
      </c>
      <c r="C164" s="5" t="inlineStr">
        <is>
          <t>Ioniq 5 N</t>
        </is>
      </c>
      <c r="D164" s="5" t="inlineStr">
        <is>
          <t>Base N AWD</t>
        </is>
      </c>
      <c r="E164" s="5" t="inlineStr">
        <is>
          <t>High-Performance EV Hatch</t>
        </is>
      </c>
      <c r="F164" s="5" t="inlineStr">
        <is>
          <t>Electric</t>
        </is>
      </c>
      <c r="G164" s="6" t="n">
        <v>67475</v>
      </c>
      <c r="H164" s="7" t="n">
        <v>641</v>
      </c>
      <c r="I164" s="7" t="n">
        <v>568</v>
      </c>
      <c r="J164" s="5" t="inlineStr">
        <is>
          <t>Dual High-Output Motors</t>
        </is>
      </c>
      <c r="K164" s="4" t="inlineStr">
        <is>
          <t>N/A</t>
        </is>
      </c>
      <c r="L164" s="4" t="n">
        <v>0</v>
      </c>
      <c r="M164" s="5" t="inlineStr">
        <is>
          <t>1-Speed Direct (N e-Shift)</t>
        </is>
      </c>
      <c r="N164" s="4" t="inlineStr">
        <is>
          <t>AWD</t>
        </is>
      </c>
      <c r="O164" s="4" t="inlineStr">
        <is>
          <t>78 MPGe</t>
        </is>
      </c>
      <c r="P164" s="4" t="inlineStr">
        <is>
          <t>221</t>
        </is>
      </c>
      <c r="Q164" s="10" t="n">
        <v>84</v>
      </c>
      <c r="R164" s="4" t="n">
        <v>5</v>
      </c>
      <c r="S164" s="10" t="n">
        <v>26.1</v>
      </c>
      <c r="T164" s="4" t="inlineStr">
        <is>
          <t>N/A</t>
        </is>
      </c>
      <c r="U164" s="29" t="inlineStr">
        <is>
          <t>10/10</t>
        </is>
      </c>
      <c r="V164" s="12" t="inlineStr">
        <is>
          <t xml:space="preserve"> • Ultra-fast 800V DC fast-charging
 • Distinctive concept-car retro design
 • Vast, open interior architecture</t>
        </is>
      </c>
      <c r="W164" s="13" t="inlineStr">
        <is>
          <t xml:space="preserve"> • Rear wiper omitted on earlier models
 • Polarizing styling for some buyers
 • Real-world cold weather range drops</t>
        </is>
      </c>
      <c r="X164" s="14" t="inlineStr">
        <is>
          <t>Groundbreaking EV architecture with super-fast charging speeds and design that turns heads everywhere.</t>
        </is>
      </c>
      <c r="Y164" s="15" t="inlineStr">
        <is>
          <t>https://hips.hearstapps.com/hmg-prod/images/2026-hyundai-ioniq-5-n.jpg</t>
        </is>
      </c>
      <c r="Z164" s="15" t="inlineStr">
        <is>
          <t>https://www.caranddriver.com/hyundai/ioniq-5-n</t>
        </is>
      </c>
      <c r="AA164" s="5" t="inlineStr">
        <is>
          <t>Car and Driver EV of the Year Winner</t>
        </is>
      </c>
    </row>
    <row r="165" ht="48" customHeight="1">
      <c r="A165" s="16" t="n">
        <v>2026</v>
      </c>
      <c r="B165" s="17" t="inlineStr">
        <is>
          <t>Hyundai</t>
        </is>
      </c>
      <c r="C165" s="17" t="inlineStr">
        <is>
          <t>Ioniq 6</t>
        </is>
      </c>
      <c r="D165" s="17" t="inlineStr">
        <is>
          <t>Long Range AWD</t>
        </is>
      </c>
      <c r="E165" s="17" t="inlineStr">
        <is>
          <t>Electric Aero Sedan</t>
        </is>
      </c>
      <c r="F165" s="17" t="inlineStr">
        <is>
          <t>Electric</t>
        </is>
      </c>
      <c r="G165" s="18" t="n">
        <v>51000</v>
      </c>
      <c r="H165" s="19" t="n">
        <v>320</v>
      </c>
      <c r="I165" s="19" t="n">
        <v>446</v>
      </c>
      <c r="J165" s="17" t="inlineStr">
        <is>
          <t>Dual Electric Motors</t>
        </is>
      </c>
      <c r="K165" s="16" t="inlineStr">
        <is>
          <t>N/A</t>
        </is>
      </c>
      <c r="L165" s="16" t="n">
        <v>0</v>
      </c>
      <c r="M165" s="17" t="inlineStr">
        <is>
          <t>1-Speed Direct</t>
        </is>
      </c>
      <c r="N165" s="16" t="inlineStr">
        <is>
          <t>HTRAC AWD</t>
        </is>
      </c>
      <c r="O165" s="16" t="inlineStr">
        <is>
          <t>121 MPGe</t>
        </is>
      </c>
      <c r="P165" s="16" t="inlineStr">
        <is>
          <t>316</t>
        </is>
      </c>
      <c r="Q165" s="22" t="n">
        <v>77.40000000000001</v>
      </c>
      <c r="R165" s="16" t="n">
        <v>5</v>
      </c>
      <c r="S165" s="22" t="n">
        <v>11.2</v>
      </c>
      <c r="T165" s="16" t="inlineStr">
        <is>
          <t>N/A</t>
        </is>
      </c>
      <c r="U165" s="23" t="inlineStr">
        <is>
          <t>9.5/10</t>
        </is>
      </c>
      <c r="V165" s="24" t="inlineStr">
        <is>
          <t xml:space="preserve"> • Silent, instantaneous acceleration
 • Low center of gravity enhances stability
 • Zero tailpipe emissions</t>
        </is>
      </c>
      <c r="W165" s="25" t="inlineStr">
        <is>
          <t xml:space="preserve"> • Highway range drops at sustained speed
 • Public charging network variability
 • Pricier initial purchase cost</t>
        </is>
      </c>
      <c r="X165" s="26" t="inlineStr">
        <is>
          <t>A compelling electric entry in the electric aero sedan segment offering smooth power delivery and advanced tech.</t>
        </is>
      </c>
      <c r="Y165" s="27" t="inlineStr">
        <is>
          <t>https://hips.hearstapps.com/hmg-prod/images/2026-hyundai-ioniq-6.jpg</t>
        </is>
      </c>
      <c r="Z165" s="27" t="inlineStr">
        <is>
          <t>https://www.caranddriver.com/hyundai/ioniq-6</t>
        </is>
      </c>
      <c r="AA165" s="17" t="inlineStr">
        <is>
          <t>Car and Driver 10Best Winner</t>
        </is>
      </c>
    </row>
    <row r="166" ht="48" customHeight="1">
      <c r="A166" s="4" t="n">
        <v>2026</v>
      </c>
      <c r="B166" s="5" t="inlineStr">
        <is>
          <t>Hyundai</t>
        </is>
      </c>
      <c r="C166" s="5" t="inlineStr">
        <is>
          <t>Ioniq 9</t>
        </is>
      </c>
      <c r="D166" s="5" t="inlineStr">
        <is>
          <t>Calligraphy AWD</t>
        </is>
      </c>
      <c r="E166" s="5" t="inlineStr">
        <is>
          <t>3-Row Flagship EV SUV</t>
        </is>
      </c>
      <c r="F166" s="5" t="inlineStr">
        <is>
          <t>Electric</t>
        </is>
      </c>
      <c r="G166" s="6" t="n">
        <v>72000</v>
      </c>
      <c r="H166" s="7" t="n">
        <v>422</v>
      </c>
      <c r="I166" s="7" t="n">
        <v>516</v>
      </c>
      <c r="J166" s="5" t="inlineStr">
        <is>
          <t>Dual Motors</t>
        </is>
      </c>
      <c r="K166" s="4" t="inlineStr">
        <is>
          <t>N/A</t>
        </is>
      </c>
      <c r="L166" s="4" t="n">
        <v>0</v>
      </c>
      <c r="M166" s="5" t="inlineStr">
        <is>
          <t>1-Speed Direct</t>
        </is>
      </c>
      <c r="N166" s="4" t="inlineStr">
        <is>
          <t>AWD</t>
        </is>
      </c>
      <c r="O166" s="4" t="inlineStr">
        <is>
          <t>84 MPGe</t>
        </is>
      </c>
      <c r="P166" s="4" t="inlineStr">
        <is>
          <t>335</t>
        </is>
      </c>
      <c r="Q166" s="10" t="n">
        <v>110.3</v>
      </c>
      <c r="R166" s="4" t="n">
        <v>7</v>
      </c>
      <c r="S166" s="10" t="n">
        <v>21.9</v>
      </c>
      <c r="T166" s="7" t="n">
        <v>5000</v>
      </c>
      <c r="U166" s="29" t="inlineStr">
        <is>
          <t>9.5/10</t>
        </is>
      </c>
      <c r="V166" s="12" t="inlineStr">
        <is>
          <t xml:space="preserve"> • Silent, instantaneous acceleration
 • Low center of gravity enhances stability
 • Zero tailpipe emissions</t>
        </is>
      </c>
      <c r="W166" s="13" t="inlineStr">
        <is>
          <t xml:space="preserve"> • Highway range drops at sustained speed
 • Public charging network variability
 • Pricier initial purchase cost</t>
        </is>
      </c>
      <c r="X166" s="14" t="inlineStr">
        <is>
          <t>A compelling electric entry in the 3-row flagship ev suv segment offering smooth power delivery and advanced tech.</t>
        </is>
      </c>
      <c r="Y166" s="15" t="inlineStr">
        <is>
          <t>https://hips.hearstapps.com/hmg-prod/images/2026-hyundai-ioniq-9.jpg</t>
        </is>
      </c>
      <c r="Z166" s="15" t="inlineStr">
        <is>
          <t>https://www.caranddriver.com/hyundai/ioniq-9</t>
        </is>
      </c>
      <c r="AA166" s="5" t="inlineStr">
        <is>
          <t>Car and Driver First Look</t>
        </is>
      </c>
    </row>
    <row r="167" ht="48" customHeight="1">
      <c r="A167" s="16" t="n">
        <v>2026</v>
      </c>
      <c r="B167" s="17" t="inlineStr">
        <is>
          <t>Infiniti</t>
        </is>
      </c>
      <c r="C167" s="17" t="inlineStr">
        <is>
          <t>Q50</t>
        </is>
      </c>
      <c r="D167" s="17" t="inlineStr">
        <is>
          <t>Red Sport 400 AWD</t>
        </is>
      </c>
      <c r="E167" s="17" t="inlineStr">
        <is>
          <t>Compact Sport Sedan</t>
        </is>
      </c>
      <c r="F167" s="17" t="inlineStr">
        <is>
          <t>Gasoline</t>
        </is>
      </c>
      <c r="G167" s="18" t="n">
        <v>60000</v>
      </c>
      <c r="H167" s="19" t="n">
        <v>400</v>
      </c>
      <c r="I167" s="19" t="n">
        <v>350</v>
      </c>
      <c r="J167" s="17" t="inlineStr">
        <is>
          <t>3.0L Twin-Turbo V6</t>
        </is>
      </c>
      <c r="K167" s="20" t="n">
        <v>3</v>
      </c>
      <c r="L167" s="16" t="n">
        <v>6</v>
      </c>
      <c r="M167" s="17" t="inlineStr">
        <is>
          <t>7-Speed Auto</t>
        </is>
      </c>
      <c r="N167" s="16" t="inlineStr">
        <is>
          <t>AWD</t>
        </is>
      </c>
      <c r="O167" s="16" t="inlineStr">
        <is>
          <t>22 (19/26)</t>
        </is>
      </c>
      <c r="P167" s="16" t="inlineStr">
        <is>
          <t>N/A</t>
        </is>
      </c>
      <c r="Q167" s="21" t="inlineStr">
        <is>
          <t>N/A</t>
        </is>
      </c>
      <c r="R167" s="16" t="n">
        <v>5</v>
      </c>
      <c r="S167" s="22" t="n">
        <v>13.5</v>
      </c>
      <c r="T167" s="16" t="inlineStr">
        <is>
          <t>N/A</t>
        </is>
      </c>
      <c r="U167" s="28" t="inlineStr">
        <is>
          <t>7.5/10</t>
        </is>
      </c>
      <c r="V167" s="24" t="inlineStr">
        <is>
          <t xml:space="preserve"> • Sharper handling dynamics than taller SUVs
 • Superior highway fuel economy
 • Easy maneuvering in urban spaces</t>
        </is>
      </c>
      <c r="W167" s="25" t="inlineStr">
        <is>
          <t xml:space="preserve"> • Less cargo flexibility than crossovers
 • Lower seating hip point for ingress
 • Fewer AWD options</t>
        </is>
      </c>
      <c r="X167" s="26" t="inlineStr">
        <is>
          <t>A well-proportioned compact sport sedan offering superior driving manners and efficiency over conventional crossovers.</t>
        </is>
      </c>
      <c r="Y167" s="27" t="inlineStr">
        <is>
          <t>https://hips.hearstapps.com/hmg-prod/images/2026-infiniti-q50.jpg</t>
        </is>
      </c>
      <c r="Z167" s="27" t="inlineStr">
        <is>
          <t>https://www.caranddriver.com/infiniti/q50</t>
        </is>
      </c>
      <c r="AA167" s="17" t="inlineStr">
        <is>
          <t>Car and Driver Buyer's Guide</t>
        </is>
      </c>
    </row>
    <row r="168" ht="48" customHeight="1">
      <c r="A168" s="4" t="n">
        <v>2026</v>
      </c>
      <c r="B168" s="5" t="inlineStr">
        <is>
          <t>Infiniti</t>
        </is>
      </c>
      <c r="C168" s="5" t="inlineStr">
        <is>
          <t>QX50</t>
        </is>
      </c>
      <c r="D168" s="5" t="inlineStr">
        <is>
          <t>Autograph AWD</t>
        </is>
      </c>
      <c r="E168" s="5" t="inlineStr">
        <is>
          <t>Compact Luxury SUV</t>
        </is>
      </c>
      <c r="F168" s="5" t="inlineStr">
        <is>
          <t>Gasoline</t>
        </is>
      </c>
      <c r="G168" s="6" t="n">
        <v>58000</v>
      </c>
      <c r="H168" s="7" t="n">
        <v>268</v>
      </c>
      <c r="I168" s="7" t="n">
        <v>280</v>
      </c>
      <c r="J168" s="5" t="inlineStr">
        <is>
          <t>2.0L VC-Turbo I4</t>
        </is>
      </c>
      <c r="K168" s="8" t="n">
        <v>2</v>
      </c>
      <c r="L168" s="4" t="n">
        <v>4</v>
      </c>
      <c r="M168" s="5" t="inlineStr">
        <is>
          <t>CVT</t>
        </is>
      </c>
      <c r="N168" s="4" t="inlineStr">
        <is>
          <t>AWD</t>
        </is>
      </c>
      <c r="O168" s="4" t="inlineStr">
        <is>
          <t>25 (22/28)</t>
        </is>
      </c>
      <c r="P168" s="4" t="inlineStr">
        <is>
          <t>N/A</t>
        </is>
      </c>
      <c r="Q168" s="9" t="inlineStr">
        <is>
          <t>N/A</t>
        </is>
      </c>
      <c r="R168" s="4" t="n">
        <v>5</v>
      </c>
      <c r="S168" s="10" t="n">
        <v>31.4</v>
      </c>
      <c r="T168" s="7" t="n">
        <v>3000</v>
      </c>
      <c r="U168" s="11" t="inlineStr">
        <is>
          <t>7.5/10</t>
        </is>
      </c>
      <c r="V168" s="12" t="inlineStr">
        <is>
          <t xml:space="preserve"> • Spacious passenger and cargo room
 • Commanding elevated driving position
 • Confidence-inspiring all-weather grip</t>
        </is>
      </c>
      <c r="W168" s="13" t="inlineStr">
        <is>
          <t xml:space="preserve"> • Higher center of gravity than sedans
 • Fuel consumption under heavy load
 • Less engaging steering feel</t>
        </is>
      </c>
      <c r="X168" s="14" t="inlineStr">
        <is>
          <t>A highly versatile compact luxury suv that delivers generous space, modern safety tech, and daily utility.</t>
        </is>
      </c>
      <c r="Y168" s="15" t="inlineStr">
        <is>
          <t>https://hips.hearstapps.com/hmg-prod/images/2026-infiniti-qx50.jpg</t>
        </is>
      </c>
      <c r="Z168" s="15" t="inlineStr">
        <is>
          <t>https://www.caranddriver.com/infiniti/qx50</t>
        </is>
      </c>
      <c r="AA168" s="5" t="inlineStr">
        <is>
          <t>Car and Driver Buyer's Guide</t>
        </is>
      </c>
    </row>
    <row r="169" ht="48" customHeight="1">
      <c r="A169" s="16" t="n">
        <v>2026</v>
      </c>
      <c r="B169" s="17" t="inlineStr">
        <is>
          <t>Infiniti</t>
        </is>
      </c>
      <c r="C169" s="17" t="inlineStr">
        <is>
          <t>QX60</t>
        </is>
      </c>
      <c r="D169" s="17" t="inlineStr">
        <is>
          <t>Autograph AWD</t>
        </is>
      </c>
      <c r="E169" s="17" t="inlineStr">
        <is>
          <t>3-Row Luxury SUV</t>
        </is>
      </c>
      <c r="F169" s="17" t="inlineStr">
        <is>
          <t>Gasoline</t>
        </is>
      </c>
      <c r="G169" s="18" t="n">
        <v>67000</v>
      </c>
      <c r="H169" s="19" t="n">
        <v>268</v>
      </c>
      <c r="I169" s="19" t="n">
        <v>286</v>
      </c>
      <c r="J169" s="17" t="inlineStr">
        <is>
          <t>2.0L VC-Turbo I4</t>
        </is>
      </c>
      <c r="K169" s="20" t="n">
        <v>2</v>
      </c>
      <c r="L169" s="16" t="n">
        <v>4</v>
      </c>
      <c r="M169" s="17" t="inlineStr">
        <is>
          <t>9-Speed Auto</t>
        </is>
      </c>
      <c r="N169" s="16" t="inlineStr">
        <is>
          <t>Intelligent AWD</t>
        </is>
      </c>
      <c r="O169" s="16" t="inlineStr">
        <is>
          <t>24 (22/27)</t>
        </is>
      </c>
      <c r="P169" s="16" t="inlineStr">
        <is>
          <t>N/A</t>
        </is>
      </c>
      <c r="Q169" s="21" t="inlineStr">
        <is>
          <t>N/A</t>
        </is>
      </c>
      <c r="R169" s="16" t="n">
        <v>7</v>
      </c>
      <c r="S169" s="22" t="n">
        <v>14.5</v>
      </c>
      <c r="T169" s="19" t="n">
        <v>6000</v>
      </c>
      <c r="U169" s="28" t="inlineStr">
        <is>
          <t>8.0/10</t>
        </is>
      </c>
      <c r="V169" s="24" t="inlineStr">
        <is>
          <t xml:space="preserve"> • Spacious passenger and cargo room
 • Commanding elevated driving position
 • Confidence-inspiring all-weather grip</t>
        </is>
      </c>
      <c r="W169" s="25" t="inlineStr">
        <is>
          <t xml:space="preserve"> • Higher center of gravity than sedans
 • Fuel consumption under heavy load
 • Less engaging steering feel</t>
        </is>
      </c>
      <c r="X169" s="26" t="inlineStr">
        <is>
          <t>A highly versatile 3-row luxury suv that delivers generous space, modern safety tech, and daily utility.</t>
        </is>
      </c>
      <c r="Y169" s="27" t="inlineStr">
        <is>
          <t>https://hips.hearstapps.com/hmg-prod/images/2026-infiniti-qx60.jpg</t>
        </is>
      </c>
      <c r="Z169" s="27" t="inlineStr">
        <is>
          <t>https://www.caranddriver.com/infiniti/qx60</t>
        </is>
      </c>
      <c r="AA169" s="17" t="inlineStr">
        <is>
          <t>Car and Driver Buyer's Guide</t>
        </is>
      </c>
    </row>
    <row r="170" ht="48" customHeight="1">
      <c r="A170" s="4" t="n">
        <v>2026</v>
      </c>
      <c r="B170" s="5" t="inlineStr">
        <is>
          <t>Infiniti</t>
        </is>
      </c>
      <c r="C170" s="5" t="inlineStr">
        <is>
          <t>QX80</t>
        </is>
      </c>
      <c r="D170" s="5" t="inlineStr">
        <is>
          <t>Autograph 4WD</t>
        </is>
      </c>
      <c r="E170" s="5" t="inlineStr">
        <is>
          <t>Full-Size Luxury SUV</t>
        </is>
      </c>
      <c r="F170" s="5" t="inlineStr">
        <is>
          <t>Gasoline</t>
        </is>
      </c>
      <c r="G170" s="6" t="n">
        <v>112590</v>
      </c>
      <c r="H170" s="7" t="n">
        <v>450</v>
      </c>
      <c r="I170" s="7" t="n">
        <v>516</v>
      </c>
      <c r="J170" s="5" t="inlineStr">
        <is>
          <t>3.5L Twin-Turbo V6</t>
        </is>
      </c>
      <c r="K170" s="8" t="n">
        <v>3.5</v>
      </c>
      <c r="L170" s="4" t="n">
        <v>6</v>
      </c>
      <c r="M170" s="5" t="inlineStr">
        <is>
          <t>9-Speed Auto</t>
        </is>
      </c>
      <c r="N170" s="4" t="inlineStr">
        <is>
          <t>4WD</t>
        </is>
      </c>
      <c r="O170" s="4" t="inlineStr">
        <is>
          <t>17 (15/19)</t>
        </is>
      </c>
      <c r="P170" s="4" t="inlineStr">
        <is>
          <t>N/A</t>
        </is>
      </c>
      <c r="Q170" s="9" t="inlineStr">
        <is>
          <t>N/A</t>
        </is>
      </c>
      <c r="R170" s="4" t="n">
        <v>7</v>
      </c>
      <c r="S170" s="10" t="n">
        <v>22</v>
      </c>
      <c r="T170" s="7" t="n">
        <v>8500</v>
      </c>
      <c r="U170" s="11" t="inlineStr">
        <is>
          <t>8.5/10</t>
        </is>
      </c>
      <c r="V170" s="12" t="inlineStr">
        <is>
          <t xml:space="preserve"> • Spacious passenger and cargo room
 • Commanding elevated driving position
 • Confidence-inspiring all-weather grip</t>
        </is>
      </c>
      <c r="W170" s="13" t="inlineStr">
        <is>
          <t xml:space="preserve"> • Higher center of gravity than sedans
 • Fuel consumption under heavy load
 • Less engaging steering feel</t>
        </is>
      </c>
      <c r="X170" s="14" t="inlineStr">
        <is>
          <t>A highly versatile full-size luxury suv that delivers generous space, modern safety tech, and daily utility.</t>
        </is>
      </c>
      <c r="Y170" s="15" t="inlineStr">
        <is>
          <t>https://hips.hearstapps.com/hmg-prod/images/2026-infiniti-qx80.jpg</t>
        </is>
      </c>
      <c r="Z170" s="15" t="inlineStr">
        <is>
          <t>https://www.caranddriver.com/infiniti/qx80</t>
        </is>
      </c>
      <c r="AA170" s="5" t="inlineStr">
        <is>
          <t>Car and Driver First Drive</t>
        </is>
      </c>
    </row>
    <row r="171" ht="48" customHeight="1">
      <c r="A171" s="16" t="n">
        <v>2026</v>
      </c>
      <c r="B171" s="17" t="inlineStr">
        <is>
          <t>Jaguar</t>
        </is>
      </c>
      <c r="C171" s="17" t="inlineStr">
        <is>
          <t>F-Pace</t>
        </is>
      </c>
      <c r="D171" s="17" t="inlineStr">
        <is>
          <t>SVR 575 Edition</t>
        </is>
      </c>
      <c r="E171" s="17" t="inlineStr">
        <is>
          <t>Mid-Size Performance Luxury SUV</t>
        </is>
      </c>
      <c r="F171" s="17" t="inlineStr">
        <is>
          <t>Gasoline</t>
        </is>
      </c>
      <c r="G171" s="18" t="n">
        <v>93000</v>
      </c>
      <c r="H171" s="19" t="n">
        <v>575</v>
      </c>
      <c r="I171" s="19" t="n">
        <v>516</v>
      </c>
      <c r="J171" s="17" t="inlineStr">
        <is>
          <t>5.0L Supercharged V8</t>
        </is>
      </c>
      <c r="K171" s="20" t="n">
        <v>5</v>
      </c>
      <c r="L171" s="16" t="n">
        <v>8</v>
      </c>
      <c r="M171" s="17" t="inlineStr">
        <is>
          <t>8-Speed Auto</t>
        </is>
      </c>
      <c r="N171" s="16" t="inlineStr">
        <is>
          <t>AWD</t>
        </is>
      </c>
      <c r="O171" s="16" t="inlineStr">
        <is>
          <t>17 (15/21)</t>
        </is>
      </c>
      <c r="P171" s="16" t="inlineStr">
        <is>
          <t>N/A</t>
        </is>
      </c>
      <c r="Q171" s="21" t="inlineStr">
        <is>
          <t>N/A</t>
        </is>
      </c>
      <c r="R171" s="16" t="n">
        <v>5</v>
      </c>
      <c r="S171" s="22" t="n">
        <v>31.5</v>
      </c>
      <c r="T171" s="19" t="n">
        <v>5291</v>
      </c>
      <c r="U171" s="28" t="inlineStr">
        <is>
          <t>8.5/10</t>
        </is>
      </c>
      <c r="V171" s="24" t="inlineStr">
        <is>
          <t xml:space="preserve"> • Spacious passenger and cargo room
 • Commanding elevated driving position
 • Confidence-inspiring all-weather grip</t>
        </is>
      </c>
      <c r="W171" s="25" t="inlineStr">
        <is>
          <t xml:space="preserve"> • Higher center of gravity than sedans
 • Fuel consumption under heavy load
 • Less engaging steering feel</t>
        </is>
      </c>
      <c r="X171" s="26" t="inlineStr">
        <is>
          <t>A highly versatile mid-size performance luxury suv that delivers generous space, modern safety tech, and daily utility.</t>
        </is>
      </c>
      <c r="Y171" s="27" t="inlineStr">
        <is>
          <t>https://hips.hearstapps.com/hmg-prod/images/2026-jaguar-f-pace.jpg</t>
        </is>
      </c>
      <c r="Z171" s="27" t="inlineStr">
        <is>
          <t>https://www.caranddriver.com/jaguar/f-pace</t>
        </is>
      </c>
      <c r="AA171" s="17" t="inlineStr">
        <is>
          <t>Car and Driver Buyer's Guide</t>
        </is>
      </c>
    </row>
    <row r="172" ht="48" customHeight="1">
      <c r="A172" s="4" t="n">
        <v>2026</v>
      </c>
      <c r="B172" s="5" t="inlineStr">
        <is>
          <t>Jeep</t>
        </is>
      </c>
      <c r="C172" s="5" t="inlineStr">
        <is>
          <t>Compass</t>
        </is>
      </c>
      <c r="D172" s="5" t="inlineStr">
        <is>
          <t>Trailhawk 4x4</t>
        </is>
      </c>
      <c r="E172" s="5" t="inlineStr">
        <is>
          <t>Subcompact 4x4 Crossover</t>
        </is>
      </c>
      <c r="F172" s="5" t="inlineStr">
        <is>
          <t>Gasoline</t>
        </is>
      </c>
      <c r="G172" s="6" t="n">
        <v>37000</v>
      </c>
      <c r="H172" s="7" t="n">
        <v>200</v>
      </c>
      <c r="I172" s="7" t="n">
        <v>221</v>
      </c>
      <c r="J172" s="5" t="inlineStr">
        <is>
          <t>2.0L Turbo I4</t>
        </is>
      </c>
      <c r="K172" s="8" t="n">
        <v>2</v>
      </c>
      <c r="L172" s="4" t="n">
        <v>4</v>
      </c>
      <c r="M172" s="5" t="inlineStr">
        <is>
          <t>8-Speed Auto</t>
        </is>
      </c>
      <c r="N172" s="4" t="inlineStr">
        <is>
          <t>Active Drive Low 4WD</t>
        </is>
      </c>
      <c r="O172" s="4" t="inlineStr">
        <is>
          <t>27 (24/32)</t>
        </is>
      </c>
      <c r="P172" s="4" t="inlineStr">
        <is>
          <t>N/A</t>
        </is>
      </c>
      <c r="Q172" s="9" t="inlineStr">
        <is>
          <t>N/A</t>
        </is>
      </c>
      <c r="R172" s="4" t="n">
        <v>5</v>
      </c>
      <c r="S172" s="10" t="n">
        <v>27.2</v>
      </c>
      <c r="T172" s="7" t="n">
        <v>2000</v>
      </c>
      <c r="U172" s="11" t="inlineStr">
        <is>
          <t>7.5/10</t>
        </is>
      </c>
      <c r="V172" s="12" t="inlineStr">
        <is>
          <t xml:space="preserve"> • Spacious passenger and cargo room
 • Commanding elevated driving position
 • Confidence-inspiring all-weather grip</t>
        </is>
      </c>
      <c r="W172" s="13" t="inlineStr">
        <is>
          <t xml:space="preserve"> • Higher center of gravity than sedans
 • Fuel consumption under heavy load
 • Less engaging steering feel</t>
        </is>
      </c>
      <c r="X172" s="14" t="inlineStr">
        <is>
          <t>A highly versatile subcompact 4x4 crossover that delivers generous space, modern safety tech, and daily utility.</t>
        </is>
      </c>
      <c r="Y172" s="15" t="inlineStr">
        <is>
          <t>https://hips.hearstapps.com/hmg-prod/images/2026-jeep-compass.jpg</t>
        </is>
      </c>
      <c r="Z172" s="15" t="inlineStr">
        <is>
          <t>https://www.caranddriver.com/jeep/compass</t>
        </is>
      </c>
      <c r="AA172" s="5" t="inlineStr">
        <is>
          <t>Car and Driver Buyer's Guide</t>
        </is>
      </c>
    </row>
    <row r="173" ht="48" customHeight="1">
      <c r="A173" s="16" t="n">
        <v>2026</v>
      </c>
      <c r="B173" s="17" t="inlineStr">
        <is>
          <t>Jeep</t>
        </is>
      </c>
      <c r="C173" s="17" t="inlineStr">
        <is>
          <t>Wrangler</t>
        </is>
      </c>
      <c r="D173" s="17" t="inlineStr">
        <is>
          <t>Rubicon 4xe</t>
        </is>
      </c>
      <c r="E173" s="17" t="inlineStr">
        <is>
          <t>Mid-Size 4x4 Off-Roader</t>
        </is>
      </c>
      <c r="F173" s="17" t="inlineStr">
        <is>
          <t>PHEV</t>
        </is>
      </c>
      <c r="G173" s="18" t="n">
        <v>62990</v>
      </c>
      <c r="H173" s="19" t="n">
        <v>375</v>
      </c>
      <c r="I173" s="19" t="n">
        <v>470</v>
      </c>
      <c r="J173" s="17" t="inlineStr">
        <is>
          <t>2.0L Turbo I4 + Dual Motors</t>
        </is>
      </c>
      <c r="K173" s="20" t="n">
        <v>2</v>
      </c>
      <c r="L173" s="16" t="n">
        <v>4</v>
      </c>
      <c r="M173" s="17" t="inlineStr">
        <is>
          <t>8-Speed Auto</t>
        </is>
      </c>
      <c r="N173" s="16" t="inlineStr">
        <is>
          <t>Rock-Trac 4WD</t>
        </is>
      </c>
      <c r="O173" s="16" t="inlineStr">
        <is>
          <t>49 MPGe / 20 Comb</t>
        </is>
      </c>
      <c r="P173" s="16" t="inlineStr">
        <is>
          <t>21</t>
        </is>
      </c>
      <c r="Q173" s="22" t="n">
        <v>17.3</v>
      </c>
      <c r="R173" s="16" t="n">
        <v>5</v>
      </c>
      <c r="S173" s="22" t="n">
        <v>27.7</v>
      </c>
      <c r="T173" s="19" t="n">
        <v>3500</v>
      </c>
      <c r="U173" s="28" t="inlineStr">
        <is>
          <t>8.0/10</t>
        </is>
      </c>
      <c r="V173" s="24" t="inlineStr">
        <is>
          <t xml:space="preserve"> • Removable doors and roof for open-air freedom
 • Unstoppable off-road rock crawl ability
 • High residual values</t>
        </is>
      </c>
      <c r="W173" s="25" t="inlineStr">
        <is>
          <t xml:space="preserve"> • Elevated highway wind and tire roar
 • Vague on-center steering wander
 • Choppy ride quality</t>
        </is>
      </c>
      <c r="X173" s="26" t="inlineStr">
        <is>
          <t>Iconic American adventure icons engineered to tackle trails where other vehicles fear to tread.</t>
        </is>
      </c>
      <c r="Y173" s="27" t="inlineStr">
        <is>
          <t>https://hips.hearstapps.com/hmg-prod/images/2026-jeep-wrangler.jpg</t>
        </is>
      </c>
      <c r="Z173" s="27" t="inlineStr">
        <is>
          <t>https://www.caranddriver.com/jeep/wrangler</t>
        </is>
      </c>
      <c r="AA173" s="17" t="inlineStr">
        <is>
          <t>Car and Driver Buyer's Guide</t>
        </is>
      </c>
    </row>
    <row r="174" ht="48" customHeight="1">
      <c r="A174" s="4" t="n">
        <v>2026</v>
      </c>
      <c r="B174" s="5" t="inlineStr">
        <is>
          <t>Jeep</t>
        </is>
      </c>
      <c r="C174" s="5" t="inlineStr">
        <is>
          <t>Wrangler</t>
        </is>
      </c>
      <c r="D174" s="5" t="inlineStr">
        <is>
          <t>Rubicon 392 Final Edition</t>
        </is>
      </c>
      <c r="E174" s="5" t="inlineStr">
        <is>
          <t>V8 Off-Roader</t>
        </is>
      </c>
      <c r="F174" s="5" t="inlineStr">
        <is>
          <t>Gasoline</t>
        </is>
      </c>
      <c r="G174" s="6" t="n">
        <v>101890</v>
      </c>
      <c r="H174" s="7" t="n">
        <v>470</v>
      </c>
      <c r="I174" s="7" t="n">
        <v>470</v>
      </c>
      <c r="J174" s="5" t="inlineStr">
        <is>
          <t>6.4L SRT HEMI V8</t>
        </is>
      </c>
      <c r="K174" s="8" t="n">
        <v>6.4</v>
      </c>
      <c r="L174" s="4" t="n">
        <v>8</v>
      </c>
      <c r="M174" s="5" t="inlineStr">
        <is>
          <t>8-Speed Auto</t>
        </is>
      </c>
      <c r="N174" s="4" t="inlineStr">
        <is>
          <t>Selec-Trac 4WD</t>
        </is>
      </c>
      <c r="O174" s="4" t="inlineStr">
        <is>
          <t>14 (13/16)</t>
        </is>
      </c>
      <c r="P174" s="4" t="inlineStr">
        <is>
          <t>N/A</t>
        </is>
      </c>
      <c r="Q174" s="9" t="inlineStr">
        <is>
          <t>N/A</t>
        </is>
      </c>
      <c r="R174" s="4" t="n">
        <v>5</v>
      </c>
      <c r="S174" s="10" t="n">
        <v>27.7</v>
      </c>
      <c r="T174" s="7" t="n">
        <v>3500</v>
      </c>
      <c r="U174" s="11" t="inlineStr">
        <is>
          <t>8.5/10</t>
        </is>
      </c>
      <c r="V174" s="12" t="inlineStr">
        <is>
          <t xml:space="preserve"> • Removable doors and roof for open-air freedom
 • Unstoppable off-road rock crawl ability
 • High residual values</t>
        </is>
      </c>
      <c r="W174" s="13" t="inlineStr">
        <is>
          <t xml:space="preserve"> • Elevated highway wind and tire roar
 • Vague on-center steering wander
 • Choppy ride quality</t>
        </is>
      </c>
      <c r="X174" s="14" t="inlineStr">
        <is>
          <t>Iconic American adventure icons engineered to tackle trails where other vehicles fear to tread.</t>
        </is>
      </c>
      <c r="Y174" s="15" t="inlineStr">
        <is>
          <t>https://hips.hearstapps.com/hmg-prod/images/2026-jeep-wrangler.jpg</t>
        </is>
      </c>
      <c r="Z174" s="15" t="inlineStr">
        <is>
          <t>https://www.caranddriver.com/jeep/wrangler</t>
        </is>
      </c>
      <c r="AA174" s="5" t="inlineStr">
        <is>
          <t>Car and Driver Editors' Choice</t>
        </is>
      </c>
    </row>
    <row r="175" ht="48" customHeight="1">
      <c r="A175" s="16" t="n">
        <v>2026</v>
      </c>
      <c r="B175" s="17" t="inlineStr">
        <is>
          <t>Jeep</t>
        </is>
      </c>
      <c r="C175" s="17" t="inlineStr">
        <is>
          <t>Gladiator</t>
        </is>
      </c>
      <c r="D175" s="17" t="inlineStr">
        <is>
          <t>Rubicon 4x4</t>
        </is>
      </c>
      <c r="E175" s="17" t="inlineStr">
        <is>
          <t>Mid-Size 4x4 Pickup</t>
        </is>
      </c>
      <c r="F175" s="17" t="inlineStr">
        <is>
          <t>Gasoline</t>
        </is>
      </c>
      <c r="G175" s="18" t="n">
        <v>54000</v>
      </c>
      <c r="H175" s="19" t="n">
        <v>285</v>
      </c>
      <c r="I175" s="19" t="n">
        <v>260</v>
      </c>
      <c r="J175" s="17" t="inlineStr">
        <is>
          <t>3.6L Pentastar V6</t>
        </is>
      </c>
      <c r="K175" s="20" t="n">
        <v>3.6</v>
      </c>
      <c r="L175" s="16" t="n">
        <v>6</v>
      </c>
      <c r="M175" s="17" t="inlineStr">
        <is>
          <t>8-Speed Auto</t>
        </is>
      </c>
      <c r="N175" s="16" t="inlineStr">
        <is>
          <t>Rock-Trac 4WD</t>
        </is>
      </c>
      <c r="O175" s="16" t="inlineStr">
        <is>
          <t>19 (17/22)</t>
        </is>
      </c>
      <c r="P175" s="16" t="inlineStr">
        <is>
          <t>N/A</t>
        </is>
      </c>
      <c r="Q175" s="21" t="inlineStr">
        <is>
          <t>N/A</t>
        </is>
      </c>
      <c r="R175" s="16" t="n">
        <v>5</v>
      </c>
      <c r="S175" s="22" t="n">
        <v>35.5</v>
      </c>
      <c r="T175" s="19" t="n">
        <v>7000</v>
      </c>
      <c r="U175" s="28" t="inlineStr">
        <is>
          <t>8.0/10</t>
        </is>
      </c>
      <c r="V175" s="24" t="inlineStr">
        <is>
          <t xml:space="preserve"> • Robust payload and towing capabilities
 • Durable bed and tailgate features
 • High ground clearance</t>
        </is>
      </c>
      <c r="W175" s="25" t="inlineStr">
        <is>
          <t xml:space="preserve"> • Stiffer unladen ride quality
 • Challenging to park in urban garages
 • Higher fuel costs</t>
        </is>
      </c>
      <c r="X175" s="26" t="inlineStr">
        <is>
          <t>A capable and rugged mid-size 4x4 pickup designed for serious work duty, hauling, and outdoor recreation.</t>
        </is>
      </c>
      <c r="Y175" s="27" t="inlineStr">
        <is>
          <t>https://hips.hearstapps.com/hmg-prod/images/2026-jeep-gladiator.jpg</t>
        </is>
      </c>
      <c r="Z175" s="27" t="inlineStr">
        <is>
          <t>https://www.caranddriver.com/jeep/gladiator</t>
        </is>
      </c>
      <c r="AA175" s="17" t="inlineStr">
        <is>
          <t>Car and Driver Buyer's Guide</t>
        </is>
      </c>
    </row>
    <row r="176" ht="48" customHeight="1">
      <c r="A176" s="4" t="n">
        <v>2026</v>
      </c>
      <c r="B176" s="5" t="inlineStr">
        <is>
          <t>Jeep</t>
        </is>
      </c>
      <c r="C176" s="5" t="inlineStr">
        <is>
          <t>Grand Cherokee</t>
        </is>
      </c>
      <c r="D176" s="5" t="inlineStr">
        <is>
          <t>Summit Reserve 4xe</t>
        </is>
      </c>
      <c r="E176" s="5" t="inlineStr">
        <is>
          <t>Mid-Size Luxury SUV</t>
        </is>
      </c>
      <c r="F176" s="5" t="inlineStr">
        <is>
          <t>PHEV</t>
        </is>
      </c>
      <c r="G176" s="6" t="n">
        <v>79150</v>
      </c>
      <c r="H176" s="7" t="n">
        <v>375</v>
      </c>
      <c r="I176" s="7" t="n">
        <v>470</v>
      </c>
      <c r="J176" s="5" t="inlineStr">
        <is>
          <t>2.0L Turbo I4 + Motors</t>
        </is>
      </c>
      <c r="K176" s="8" t="n">
        <v>2</v>
      </c>
      <c r="L176" s="4" t="n">
        <v>4</v>
      </c>
      <c r="M176" s="5" t="inlineStr">
        <is>
          <t>8-Speed Auto</t>
        </is>
      </c>
      <c r="N176" s="4" t="inlineStr">
        <is>
          <t>Quadra-Trac II 4WD</t>
        </is>
      </c>
      <c r="O176" s="4" t="inlineStr">
        <is>
          <t>56 MPGe / 23 Comb</t>
        </is>
      </c>
      <c r="P176" s="4" t="inlineStr">
        <is>
          <t>26</t>
        </is>
      </c>
      <c r="Q176" s="10" t="n">
        <v>17.3</v>
      </c>
      <c r="R176" s="4" t="n">
        <v>5</v>
      </c>
      <c r="S176" s="10" t="n">
        <v>37.7</v>
      </c>
      <c r="T176" s="7" t="n">
        <v>6000</v>
      </c>
      <c r="U176" s="11" t="inlineStr">
        <is>
          <t>8.5/10</t>
        </is>
      </c>
      <c r="V176" s="12" t="inlineStr">
        <is>
          <t xml:space="preserve"> • Superb real-world fuel economy
 • Smooth electric-gas power handover
 • No range anxiety on long trips</t>
        </is>
      </c>
      <c r="W176" s="13" t="inlineStr">
        <is>
          <t xml:space="preserve"> • Added curb weight from battery packs
 • Slightly compromised cargo space
 • eCVT engine flare during passing</t>
        </is>
      </c>
      <c r="X176" s="14" t="inlineStr">
        <is>
          <t>A finely engineered phev mid-size luxury suv striking the optimal balance between high efficiency and long-distance practicality.</t>
        </is>
      </c>
      <c r="Y176" s="15" t="inlineStr">
        <is>
          <t>https://hips.hearstapps.com/hmg-prod/images/2026-jeep-grand-cherokee.jpg</t>
        </is>
      </c>
      <c r="Z176" s="15" t="inlineStr">
        <is>
          <t>https://www.caranddriver.com/jeep/grand-cherokee</t>
        </is>
      </c>
      <c r="AA176" s="5" t="inlineStr">
        <is>
          <t>Car and Driver Buyer's Guide</t>
        </is>
      </c>
    </row>
    <row r="177" ht="48" customHeight="1">
      <c r="A177" s="16" t="n">
        <v>2026</v>
      </c>
      <c r="B177" s="17" t="inlineStr">
        <is>
          <t>Jeep</t>
        </is>
      </c>
      <c r="C177" s="17" t="inlineStr">
        <is>
          <t>Grand Cherokee L</t>
        </is>
      </c>
      <c r="D177" s="17" t="inlineStr">
        <is>
          <t>Overland 4WD</t>
        </is>
      </c>
      <c r="E177" s="17" t="inlineStr">
        <is>
          <t>3-Row Mid-Size SUV</t>
        </is>
      </c>
      <c r="F177" s="17" t="inlineStr">
        <is>
          <t>Gasoline</t>
        </is>
      </c>
      <c r="G177" s="18" t="n">
        <v>63000</v>
      </c>
      <c r="H177" s="19" t="n">
        <v>324</v>
      </c>
      <c r="I177" s="19" t="n">
        <v>332</v>
      </c>
      <c r="J177" s="17" t="inlineStr">
        <is>
          <t>2.0L Turbo I4 Hurricane4</t>
        </is>
      </c>
      <c r="K177" s="20" t="n">
        <v>2</v>
      </c>
      <c r="L177" s="16" t="n">
        <v>4</v>
      </c>
      <c r="M177" s="17" t="inlineStr">
        <is>
          <t>8-Speed Auto</t>
        </is>
      </c>
      <c r="N177" s="16" t="inlineStr">
        <is>
          <t>Quadra-Trac II 4WD</t>
        </is>
      </c>
      <c r="O177" s="16" t="inlineStr">
        <is>
          <t>22 (20/25)</t>
        </is>
      </c>
      <c r="P177" s="16" t="inlineStr">
        <is>
          <t>N/A</t>
        </is>
      </c>
      <c r="Q177" s="21" t="inlineStr">
        <is>
          <t>N/A</t>
        </is>
      </c>
      <c r="R177" s="16" t="n">
        <v>7</v>
      </c>
      <c r="S177" s="22" t="n">
        <v>17.2</v>
      </c>
      <c r="T177" s="19" t="n">
        <v>6200</v>
      </c>
      <c r="U177" s="28" t="inlineStr">
        <is>
          <t>8.5/10</t>
        </is>
      </c>
      <c r="V177" s="24" t="inlineStr">
        <is>
          <t xml:space="preserve"> • Spacious passenger and cargo room
 • Commanding elevated driving position
 • Confidence-inspiring all-weather grip</t>
        </is>
      </c>
      <c r="W177" s="25" t="inlineStr">
        <is>
          <t xml:space="preserve"> • Higher center of gravity than sedans
 • Fuel consumption under heavy load
 • Less engaging steering feel</t>
        </is>
      </c>
      <c r="X177" s="26" t="inlineStr">
        <is>
          <t>A highly versatile 3-row mid-size suv that delivers generous space, modern safety tech, and daily utility.</t>
        </is>
      </c>
      <c r="Y177" s="27" t="inlineStr">
        <is>
          <t>https://hips.hearstapps.com/hmg-prod/images/2026-jeep-grand-cherokee-l.jpg</t>
        </is>
      </c>
      <c r="Z177" s="27" t="inlineStr">
        <is>
          <t>https://www.caranddriver.com/jeep/grand-cherokee-l</t>
        </is>
      </c>
      <c r="AA177" s="17" t="inlineStr">
        <is>
          <t>Car and Driver Buyer's Guide</t>
        </is>
      </c>
    </row>
    <row r="178" ht="48" customHeight="1">
      <c r="A178" s="4" t="n">
        <v>2026</v>
      </c>
      <c r="B178" s="5" t="inlineStr">
        <is>
          <t>Jeep</t>
        </is>
      </c>
      <c r="C178" s="5" t="inlineStr">
        <is>
          <t>Wagoneer S</t>
        </is>
      </c>
      <c r="D178" s="5" t="inlineStr">
        <is>
          <t>Launch Edition AWD</t>
        </is>
      </c>
      <c r="E178" s="5" t="inlineStr">
        <is>
          <t>Mid-Size Luxury EV SUV</t>
        </is>
      </c>
      <c r="F178" s="5" t="inlineStr">
        <is>
          <t>Electric</t>
        </is>
      </c>
      <c r="G178" s="6" t="n">
        <v>71995</v>
      </c>
      <c r="H178" s="7" t="n">
        <v>600</v>
      </c>
      <c r="I178" s="7" t="n">
        <v>617</v>
      </c>
      <c r="J178" s="5" t="inlineStr">
        <is>
          <t>Dual Electric Drive Modules</t>
        </is>
      </c>
      <c r="K178" s="4" t="inlineStr">
        <is>
          <t>N/A</t>
        </is>
      </c>
      <c r="L178" s="4" t="n">
        <v>0</v>
      </c>
      <c r="M178" s="5" t="inlineStr">
        <is>
          <t>1-Speed Direct</t>
        </is>
      </c>
      <c r="N178" s="4" t="inlineStr">
        <is>
          <t>4xe AWD</t>
        </is>
      </c>
      <c r="O178" s="4" t="inlineStr">
        <is>
          <t>88 MPGe</t>
        </is>
      </c>
      <c r="P178" s="4" t="inlineStr">
        <is>
          <t>300</t>
        </is>
      </c>
      <c r="Q178" s="10" t="n">
        <v>100.5</v>
      </c>
      <c r="R178" s="4" t="n">
        <v>5</v>
      </c>
      <c r="S178" s="10" t="n">
        <v>30.6</v>
      </c>
      <c r="T178" s="7" t="n">
        <v>3400</v>
      </c>
      <c r="U178" s="11" t="inlineStr">
        <is>
          <t>8.5/10</t>
        </is>
      </c>
      <c r="V178" s="12" t="inlineStr">
        <is>
          <t xml:space="preserve"> • Silent, instantaneous acceleration
 • Low center of gravity enhances stability
 • Zero tailpipe emissions</t>
        </is>
      </c>
      <c r="W178" s="13" t="inlineStr">
        <is>
          <t xml:space="preserve"> • Highway range drops at sustained speed
 • Public charging network variability
 • Pricier initial purchase cost</t>
        </is>
      </c>
      <c r="X178" s="14" t="inlineStr">
        <is>
          <t>A compelling electric entry in the mid-size luxury ev suv segment offering smooth power delivery and advanced tech.</t>
        </is>
      </c>
      <c r="Y178" s="15" t="inlineStr">
        <is>
          <t>https://hips.hearstapps.com/hmg-prod/images/2026-jeep-wagoneer-s.jpg</t>
        </is>
      </c>
      <c r="Z178" s="15" t="inlineStr">
        <is>
          <t>https://www.caranddriver.com/jeep/wagoneer-s</t>
        </is>
      </c>
      <c r="AA178" s="5" t="inlineStr">
        <is>
          <t>Car and Driver First Look</t>
        </is>
      </c>
    </row>
    <row r="179" ht="48" customHeight="1">
      <c r="A179" s="16" t="n">
        <v>2026</v>
      </c>
      <c r="B179" s="17" t="inlineStr">
        <is>
          <t>Jeep</t>
        </is>
      </c>
      <c r="C179" s="17" t="inlineStr">
        <is>
          <t>Recon</t>
        </is>
      </c>
      <c r="D179" s="17" t="inlineStr">
        <is>
          <t>Moab 4xe EV</t>
        </is>
      </c>
      <c r="E179" s="17" t="inlineStr">
        <is>
          <t>Electric Off-Road SUV</t>
        </is>
      </c>
      <c r="F179" s="17" t="inlineStr">
        <is>
          <t>Electric</t>
        </is>
      </c>
      <c r="G179" s="18" t="n">
        <v>65000</v>
      </c>
      <c r="H179" s="19" t="n">
        <v>500</v>
      </c>
      <c r="I179" s="19" t="n">
        <v>550</v>
      </c>
      <c r="J179" s="17" t="inlineStr">
        <is>
          <t>Dual Motors w/ e-Lockers</t>
        </is>
      </c>
      <c r="K179" s="16" t="inlineStr">
        <is>
          <t>N/A</t>
        </is>
      </c>
      <c r="L179" s="16" t="n">
        <v>0</v>
      </c>
      <c r="M179" s="17" t="inlineStr">
        <is>
          <t>1-Speed Direct</t>
        </is>
      </c>
      <c r="N179" s="16" t="inlineStr">
        <is>
          <t>4x4 eAWD</t>
        </is>
      </c>
      <c r="O179" s="16" t="inlineStr">
        <is>
          <t>82 MPGe (Est)</t>
        </is>
      </c>
      <c r="P179" s="16" t="inlineStr">
        <is>
          <t>285</t>
        </is>
      </c>
      <c r="Q179" s="22" t="n">
        <v>90</v>
      </c>
      <c r="R179" s="16" t="n">
        <v>5</v>
      </c>
      <c r="S179" s="22" t="n">
        <v>30</v>
      </c>
      <c r="T179" s="19" t="n">
        <v>4000</v>
      </c>
      <c r="U179" s="28" t="inlineStr">
        <is>
          <t>8.5/10</t>
        </is>
      </c>
      <c r="V179" s="24" t="inlineStr">
        <is>
          <t xml:space="preserve"> • Silent, instantaneous acceleration
 • Low center of gravity enhances stability
 • Zero tailpipe emissions</t>
        </is>
      </c>
      <c r="W179" s="25" t="inlineStr">
        <is>
          <t xml:space="preserve"> • Highway range drops at sustained speed
 • Public charging network variability
 • Pricier initial purchase cost</t>
        </is>
      </c>
      <c r="X179" s="26" t="inlineStr">
        <is>
          <t>A compelling electric entry in the electric off-road suv segment offering smooth power delivery and advanced tech.</t>
        </is>
      </c>
      <c r="Y179" s="27" t="inlineStr">
        <is>
          <t>https://hips.hearstapps.com/hmg-prod/images/2026-jeep-recon.jpg</t>
        </is>
      </c>
      <c r="Z179" s="27" t="inlineStr">
        <is>
          <t>https://www.caranddriver.com/jeep/recon</t>
        </is>
      </c>
      <c r="AA179" s="17" t="inlineStr">
        <is>
          <t>Car and Driver Preview</t>
        </is>
      </c>
    </row>
    <row r="180" ht="48" customHeight="1">
      <c r="A180" s="4" t="n">
        <v>2026</v>
      </c>
      <c r="B180" s="5" t="inlineStr">
        <is>
          <t>Jeep</t>
        </is>
      </c>
      <c r="C180" s="5" t="inlineStr">
        <is>
          <t>Grand Wagoneer</t>
        </is>
      </c>
      <c r="D180" s="5" t="inlineStr">
        <is>
          <t>Series III 4x4</t>
        </is>
      </c>
      <c r="E180" s="5" t="inlineStr">
        <is>
          <t>Full-Size Luxury SUV</t>
        </is>
      </c>
      <c r="F180" s="5" t="inlineStr">
        <is>
          <t>Gasoline</t>
        </is>
      </c>
      <c r="G180" s="6" t="n">
        <v>114000</v>
      </c>
      <c r="H180" s="7" t="n">
        <v>510</v>
      </c>
      <c r="I180" s="7" t="n">
        <v>500</v>
      </c>
      <c r="J180" s="5" t="inlineStr">
        <is>
          <t>3.0L Hurricane Twin-Turbo I6 HO</t>
        </is>
      </c>
      <c r="K180" s="8" t="n">
        <v>3</v>
      </c>
      <c r="L180" s="4" t="n">
        <v>6</v>
      </c>
      <c r="M180" s="5" t="inlineStr">
        <is>
          <t>8-Speed Auto</t>
        </is>
      </c>
      <c r="N180" s="4" t="inlineStr">
        <is>
          <t>Quadra-Drive II 4WD</t>
        </is>
      </c>
      <c r="O180" s="4" t="inlineStr">
        <is>
          <t>16 (14/19)</t>
        </is>
      </c>
      <c r="P180" s="4" t="inlineStr">
        <is>
          <t>N/A</t>
        </is>
      </c>
      <c r="Q180" s="9" t="inlineStr">
        <is>
          <t>N/A</t>
        </is>
      </c>
      <c r="R180" s="4" t="n">
        <v>7</v>
      </c>
      <c r="S180" s="10" t="n">
        <v>27.4</v>
      </c>
      <c r="T180" s="7" t="n">
        <v>9850</v>
      </c>
      <c r="U180" s="11" t="inlineStr">
        <is>
          <t>8.5/10</t>
        </is>
      </c>
      <c r="V180" s="12" t="inlineStr">
        <is>
          <t xml:space="preserve"> • Spacious passenger and cargo room
 • Commanding elevated driving position
 • Confidence-inspiring all-weather grip</t>
        </is>
      </c>
      <c r="W180" s="13" t="inlineStr">
        <is>
          <t xml:space="preserve"> • Higher center of gravity than sedans
 • Fuel consumption under heavy load
 • Less engaging steering feel</t>
        </is>
      </c>
      <c r="X180" s="14" t="inlineStr">
        <is>
          <t>A highly versatile full-size luxury suv that delivers generous space, modern safety tech, and daily utility.</t>
        </is>
      </c>
      <c r="Y180" s="15" t="inlineStr">
        <is>
          <t>https://hips.hearstapps.com/hmg-prod/images/2026-jeep-grand-wagoneer.jpg</t>
        </is>
      </c>
      <c r="Z180" s="15" t="inlineStr">
        <is>
          <t>https://www.caranddriver.com/jeep/grand-wagoneer</t>
        </is>
      </c>
      <c r="AA180" s="5" t="inlineStr">
        <is>
          <t>Car and Driver Buyer's Guide</t>
        </is>
      </c>
    </row>
    <row r="181" ht="48" customHeight="1">
      <c r="A181" s="16" t="n">
        <v>2026</v>
      </c>
      <c r="B181" s="17" t="inlineStr">
        <is>
          <t>Kia</t>
        </is>
      </c>
      <c r="C181" s="17" t="inlineStr">
        <is>
          <t>K4</t>
        </is>
      </c>
      <c r="D181" s="17" t="inlineStr">
        <is>
          <t>GT-Line Turbo</t>
        </is>
      </c>
      <c r="E181" s="17" t="inlineStr">
        <is>
          <t>Compact Sedan</t>
        </is>
      </c>
      <c r="F181" s="17" t="inlineStr">
        <is>
          <t>Gasoline</t>
        </is>
      </c>
      <c r="G181" s="18" t="n">
        <v>28500</v>
      </c>
      <c r="H181" s="19" t="n">
        <v>190</v>
      </c>
      <c r="I181" s="19" t="n">
        <v>195</v>
      </c>
      <c r="J181" s="17" t="inlineStr">
        <is>
          <t>1.6L Turbo I4</t>
        </is>
      </c>
      <c r="K181" s="20" t="n">
        <v>1.6</v>
      </c>
      <c r="L181" s="16" t="n">
        <v>4</v>
      </c>
      <c r="M181" s="17" t="inlineStr">
        <is>
          <t>8-Speed Auto</t>
        </is>
      </c>
      <c r="N181" s="16" t="inlineStr">
        <is>
          <t>FWD</t>
        </is>
      </c>
      <c r="O181" s="16" t="inlineStr">
        <is>
          <t>31 (28/36)</t>
        </is>
      </c>
      <c r="P181" s="16" t="inlineStr">
        <is>
          <t>N/A</t>
        </is>
      </c>
      <c r="Q181" s="21" t="inlineStr">
        <is>
          <t>N/A</t>
        </is>
      </c>
      <c r="R181" s="16" t="n">
        <v>5</v>
      </c>
      <c r="S181" s="22" t="n">
        <v>14.6</v>
      </c>
      <c r="T181" s="16" t="inlineStr">
        <is>
          <t>N/A</t>
        </is>
      </c>
      <c r="U181" s="28" t="inlineStr">
        <is>
          <t>8.5/10</t>
        </is>
      </c>
      <c r="V181" s="24" t="inlineStr">
        <is>
          <t xml:space="preserve"> • Sharper handling dynamics than taller SUVs
 • Superior highway fuel economy
 • Easy maneuvering in urban spaces</t>
        </is>
      </c>
      <c r="W181" s="25" t="inlineStr">
        <is>
          <t xml:space="preserve"> • Less cargo flexibility than crossovers
 • Lower seating hip point for ingress
 • Fewer AWD options</t>
        </is>
      </c>
      <c r="X181" s="26" t="inlineStr">
        <is>
          <t>A well-proportioned compact sedan offering superior driving manners and efficiency over conventional crossovers.</t>
        </is>
      </c>
      <c r="Y181" s="27" t="inlineStr">
        <is>
          <t>https://hips.hearstapps.com/hmg-prod/images/2026-kia-k4.jpg</t>
        </is>
      </c>
      <c r="Z181" s="27" t="inlineStr">
        <is>
          <t>https://www.caranddriver.com/kia/k4</t>
        </is>
      </c>
      <c r="AA181" s="17" t="inlineStr">
        <is>
          <t>Car and Driver First Look</t>
        </is>
      </c>
    </row>
    <row r="182" ht="48" customHeight="1">
      <c r="A182" s="4" t="n">
        <v>2026</v>
      </c>
      <c r="B182" s="5" t="inlineStr">
        <is>
          <t>Kia</t>
        </is>
      </c>
      <c r="C182" s="5" t="inlineStr">
        <is>
          <t>K5</t>
        </is>
      </c>
      <c r="D182" s="5" t="inlineStr">
        <is>
          <t>GT Sedan</t>
        </is>
      </c>
      <c r="E182" s="5" t="inlineStr">
        <is>
          <t>Mid-Size Sport Sedan</t>
        </is>
      </c>
      <c r="F182" s="5" t="inlineStr">
        <is>
          <t>Gasoline</t>
        </is>
      </c>
      <c r="G182" s="6" t="n">
        <v>34500</v>
      </c>
      <c r="H182" s="7" t="n">
        <v>290</v>
      </c>
      <c r="I182" s="7" t="n">
        <v>311</v>
      </c>
      <c r="J182" s="5" t="inlineStr">
        <is>
          <t>2.5L Turbo I4</t>
        </is>
      </c>
      <c r="K182" s="8" t="n">
        <v>2.5</v>
      </c>
      <c r="L182" s="4" t="n">
        <v>4</v>
      </c>
      <c r="M182" s="5" t="inlineStr">
        <is>
          <t>8-Speed Wet Dual-Clutch</t>
        </is>
      </c>
      <c r="N182" s="4" t="inlineStr">
        <is>
          <t>FWD</t>
        </is>
      </c>
      <c r="O182" s="4" t="inlineStr">
        <is>
          <t>27 (24/32)</t>
        </is>
      </c>
      <c r="P182" s="4" t="inlineStr">
        <is>
          <t>N/A</t>
        </is>
      </c>
      <c r="Q182" s="9" t="inlineStr">
        <is>
          <t>N/A</t>
        </is>
      </c>
      <c r="R182" s="4" t="n">
        <v>5</v>
      </c>
      <c r="S182" s="10" t="n">
        <v>16</v>
      </c>
      <c r="T182" s="4" t="inlineStr">
        <is>
          <t>N/A</t>
        </is>
      </c>
      <c r="U182" s="11" t="inlineStr">
        <is>
          <t>8.5/10</t>
        </is>
      </c>
      <c r="V182" s="12" t="inlineStr">
        <is>
          <t xml:space="preserve"> • Sharper handling dynamics than taller SUVs
 • Superior highway fuel economy
 • Easy maneuvering in urban spaces</t>
        </is>
      </c>
      <c r="W182" s="13" t="inlineStr">
        <is>
          <t xml:space="preserve"> • Less cargo flexibility than crossovers
 • Lower seating hip point for ingress
 • Fewer AWD options</t>
        </is>
      </c>
      <c r="X182" s="14" t="inlineStr">
        <is>
          <t>A well-proportioned mid-size sport sedan offering superior driving manners and efficiency over conventional crossovers.</t>
        </is>
      </c>
      <c r="Y182" s="15" t="inlineStr">
        <is>
          <t>https://hips.hearstapps.com/hmg-prod/images/2026-kia-k5.jpg</t>
        </is>
      </c>
      <c r="Z182" s="15" t="inlineStr">
        <is>
          <t>https://www.caranddriver.com/kia/k5</t>
        </is>
      </c>
      <c r="AA182" s="5" t="inlineStr">
        <is>
          <t>Car and Driver Editors' Choice</t>
        </is>
      </c>
    </row>
    <row r="183" ht="48" customHeight="1">
      <c r="A183" s="16" t="n">
        <v>2026</v>
      </c>
      <c r="B183" s="17" t="inlineStr">
        <is>
          <t>Kia</t>
        </is>
      </c>
      <c r="C183" s="17" t="inlineStr">
        <is>
          <t>Soul</t>
        </is>
      </c>
      <c r="D183" s="17" t="inlineStr">
        <is>
          <t>EX</t>
        </is>
      </c>
      <c r="E183" s="17" t="inlineStr">
        <is>
          <t>Subcompact Box Crossover</t>
        </is>
      </c>
      <c r="F183" s="17" t="inlineStr">
        <is>
          <t>Gasoline</t>
        </is>
      </c>
      <c r="G183" s="18" t="n">
        <v>25500</v>
      </c>
      <c r="H183" s="19" t="n">
        <v>147</v>
      </c>
      <c r="I183" s="19" t="n">
        <v>132</v>
      </c>
      <c r="J183" s="17" t="inlineStr">
        <is>
          <t>2.0L DOHC 16V I4</t>
        </is>
      </c>
      <c r="K183" s="20" t="n">
        <v>2</v>
      </c>
      <c r="L183" s="16" t="n">
        <v>4</v>
      </c>
      <c r="M183" s="17" t="inlineStr">
        <is>
          <t>IVT</t>
        </is>
      </c>
      <c r="N183" s="16" t="inlineStr">
        <is>
          <t>FWD</t>
        </is>
      </c>
      <c r="O183" s="16" t="inlineStr">
        <is>
          <t>31 (29/35)</t>
        </is>
      </c>
      <c r="P183" s="16" t="inlineStr">
        <is>
          <t>N/A</t>
        </is>
      </c>
      <c r="Q183" s="21" t="inlineStr">
        <is>
          <t>N/A</t>
        </is>
      </c>
      <c r="R183" s="16" t="n">
        <v>5</v>
      </c>
      <c r="S183" s="22" t="n">
        <v>24.2</v>
      </c>
      <c r="T183" s="16" t="inlineStr">
        <is>
          <t>N/A</t>
        </is>
      </c>
      <c r="U183" s="28" t="inlineStr">
        <is>
          <t>8.5/10</t>
        </is>
      </c>
      <c r="V183" s="24" t="inlineStr">
        <is>
          <t xml:space="preserve"> • Spacious passenger and cargo room
 • Commanding elevated driving position
 • Confidence-inspiring all-weather grip</t>
        </is>
      </c>
      <c r="W183" s="25" t="inlineStr">
        <is>
          <t xml:space="preserve"> • Higher center of gravity than sedans
 • Fuel consumption under heavy load
 • Less engaging steering feel</t>
        </is>
      </c>
      <c r="X183" s="26" t="inlineStr">
        <is>
          <t>A highly versatile subcompact box crossover that delivers generous space, modern safety tech, and daily utility.</t>
        </is>
      </c>
      <c r="Y183" s="27" t="inlineStr">
        <is>
          <t>https://hips.hearstapps.com/hmg-prod/images/2026-kia-soul.jpg</t>
        </is>
      </c>
      <c r="Z183" s="27" t="inlineStr">
        <is>
          <t>https://www.caranddriver.com/kia/soul</t>
        </is>
      </c>
      <c r="AA183" s="17" t="inlineStr">
        <is>
          <t>Car and Driver Editors' Choice</t>
        </is>
      </c>
    </row>
    <row r="184" ht="48" customHeight="1">
      <c r="A184" s="4" t="n">
        <v>2026</v>
      </c>
      <c r="B184" s="5" t="inlineStr">
        <is>
          <t>Kia</t>
        </is>
      </c>
      <c r="C184" s="5" t="inlineStr">
        <is>
          <t>Seltos</t>
        </is>
      </c>
      <c r="D184" s="5" t="inlineStr">
        <is>
          <t>SX Turbo AWD</t>
        </is>
      </c>
      <c r="E184" s="5" t="inlineStr">
        <is>
          <t>Subcompact Crossover</t>
        </is>
      </c>
      <c r="F184" s="5" t="inlineStr">
        <is>
          <t>Gasoline</t>
        </is>
      </c>
      <c r="G184" s="6" t="n">
        <v>31500</v>
      </c>
      <c r="H184" s="7" t="n">
        <v>195</v>
      </c>
      <c r="I184" s="7" t="n">
        <v>195</v>
      </c>
      <c r="J184" s="5" t="inlineStr">
        <is>
          <t>1.6L Turbo I4</t>
        </is>
      </c>
      <c r="K184" s="8" t="n">
        <v>1.6</v>
      </c>
      <c r="L184" s="4" t="n">
        <v>4</v>
      </c>
      <c r="M184" s="5" t="inlineStr">
        <is>
          <t>8-Speed Auto</t>
        </is>
      </c>
      <c r="N184" s="4" t="inlineStr">
        <is>
          <t>AWD</t>
        </is>
      </c>
      <c r="O184" s="4" t="inlineStr">
        <is>
          <t>26 (25/27)</t>
        </is>
      </c>
      <c r="P184" s="4" t="inlineStr">
        <is>
          <t>N/A</t>
        </is>
      </c>
      <c r="Q184" s="9" t="inlineStr">
        <is>
          <t>N/A</t>
        </is>
      </c>
      <c r="R184" s="4" t="n">
        <v>5</v>
      </c>
      <c r="S184" s="10" t="n">
        <v>26.6</v>
      </c>
      <c r="T184" s="4" t="inlineStr">
        <is>
          <t>N/A</t>
        </is>
      </c>
      <c r="U184" s="11" t="inlineStr">
        <is>
          <t>8.5/10</t>
        </is>
      </c>
      <c r="V184" s="12" t="inlineStr">
        <is>
          <t xml:space="preserve"> • Spacious passenger and cargo room
 • Commanding elevated driving position
 • Confidence-inspiring all-weather grip</t>
        </is>
      </c>
      <c r="W184" s="13" t="inlineStr">
        <is>
          <t xml:space="preserve"> • Higher center of gravity than sedans
 • Fuel consumption under heavy load
 • Less engaging steering feel</t>
        </is>
      </c>
      <c r="X184" s="14" t="inlineStr">
        <is>
          <t>A highly versatile subcompact crossover that delivers generous space, modern safety tech, and daily utility.</t>
        </is>
      </c>
      <c r="Y184" s="15" t="inlineStr">
        <is>
          <t>https://hips.hearstapps.com/hmg-prod/images/2026-kia-seltos.jpg</t>
        </is>
      </c>
      <c r="Z184" s="15" t="inlineStr">
        <is>
          <t>https://www.caranddriver.com/kia/seltos</t>
        </is>
      </c>
      <c r="AA184" s="5" t="inlineStr">
        <is>
          <t>Car and Driver Editors' Choice</t>
        </is>
      </c>
    </row>
    <row r="185" ht="48" customHeight="1">
      <c r="A185" s="16" t="n">
        <v>2026</v>
      </c>
      <c r="B185" s="17" t="inlineStr">
        <is>
          <t>Kia</t>
        </is>
      </c>
      <c r="C185" s="17" t="inlineStr">
        <is>
          <t>Niro</t>
        </is>
      </c>
      <c r="D185" s="17" t="inlineStr">
        <is>
          <t>EX Touring Hybrid</t>
        </is>
      </c>
      <c r="E185" s="17" t="inlineStr">
        <is>
          <t>Subcompact Hybrid Crossover</t>
        </is>
      </c>
      <c r="F185" s="17" t="inlineStr">
        <is>
          <t>Gas-Electric Hybrid</t>
        </is>
      </c>
      <c r="G185" s="18" t="n">
        <v>32500</v>
      </c>
      <c r="H185" s="19" t="n">
        <v>139</v>
      </c>
      <c r="I185" s="19" t="n">
        <v>195</v>
      </c>
      <c r="J185" s="17" t="inlineStr">
        <is>
          <t>1.6L I4 + Motor</t>
        </is>
      </c>
      <c r="K185" s="20" t="n">
        <v>1.6</v>
      </c>
      <c r="L185" s="16" t="n">
        <v>4</v>
      </c>
      <c r="M185" s="17" t="inlineStr">
        <is>
          <t>6-Speed Dual-Clutch</t>
        </is>
      </c>
      <c r="N185" s="16" t="inlineStr">
        <is>
          <t>FWD</t>
        </is>
      </c>
      <c r="O185" s="16" t="inlineStr">
        <is>
          <t>49 (53/45)</t>
        </is>
      </c>
      <c r="P185" s="16" t="inlineStr">
        <is>
          <t>N/A</t>
        </is>
      </c>
      <c r="Q185" s="22" t="n">
        <v>1.32</v>
      </c>
      <c r="R185" s="16" t="n">
        <v>5</v>
      </c>
      <c r="S185" s="22" t="n">
        <v>22.8</v>
      </c>
      <c r="T185" s="16" t="inlineStr">
        <is>
          <t>N/A</t>
        </is>
      </c>
      <c r="U185" s="28" t="inlineStr">
        <is>
          <t>8.5/10</t>
        </is>
      </c>
      <c r="V185" s="24" t="inlineStr">
        <is>
          <t xml:space="preserve"> • Superb real-world fuel economy
 • Smooth electric-gas power handover
 • No range anxiety on long trips</t>
        </is>
      </c>
      <c r="W185" s="25" t="inlineStr">
        <is>
          <t xml:space="preserve"> • Added curb weight from battery packs
 • Slightly compromised cargo space
 • eCVT engine flare during passing</t>
        </is>
      </c>
      <c r="X185" s="26" t="inlineStr">
        <is>
          <t>A finely engineered gas-electric hybrid subcompact hybrid crossover striking the optimal balance between high efficiency and long-distance practicality.</t>
        </is>
      </c>
      <c r="Y185" s="27" t="inlineStr">
        <is>
          <t>https://hips.hearstapps.com/hmg-prod/images/2026-kia-niro.jpg</t>
        </is>
      </c>
      <c r="Z185" s="27" t="inlineStr">
        <is>
          <t>https://www.caranddriver.com/kia/niro</t>
        </is>
      </c>
      <c r="AA185" s="17" t="inlineStr">
        <is>
          <t>Car and Driver Buyer's Guide</t>
        </is>
      </c>
    </row>
    <row r="186" ht="48" customHeight="1">
      <c r="A186" s="4" t="n">
        <v>2026</v>
      </c>
      <c r="B186" s="5" t="inlineStr">
        <is>
          <t>Kia</t>
        </is>
      </c>
      <c r="C186" s="5" t="inlineStr">
        <is>
          <t>Sportage</t>
        </is>
      </c>
      <c r="D186" s="5" t="inlineStr">
        <is>
          <t>SX Prestige Hybrid AWD</t>
        </is>
      </c>
      <c r="E186" s="5" t="inlineStr">
        <is>
          <t>Compact Crossover</t>
        </is>
      </c>
      <c r="F186" s="5" t="inlineStr">
        <is>
          <t>Gas-Electric Hybrid</t>
        </is>
      </c>
      <c r="G186" s="6" t="n">
        <v>39000</v>
      </c>
      <c r="H186" s="7" t="n">
        <v>227</v>
      </c>
      <c r="I186" s="7" t="n">
        <v>258</v>
      </c>
      <c r="J186" s="5" t="inlineStr">
        <is>
          <t>1.6L Turbo I4 + Motor</t>
        </is>
      </c>
      <c r="K186" s="8" t="n">
        <v>1.6</v>
      </c>
      <c r="L186" s="4" t="n">
        <v>4</v>
      </c>
      <c r="M186" s="5" t="inlineStr">
        <is>
          <t>6-Speed Auto</t>
        </is>
      </c>
      <c r="N186" s="4" t="inlineStr">
        <is>
          <t>AWD</t>
        </is>
      </c>
      <c r="O186" s="4" t="inlineStr">
        <is>
          <t>38 (38/38)</t>
        </is>
      </c>
      <c r="P186" s="4" t="inlineStr">
        <is>
          <t>N/A</t>
        </is>
      </c>
      <c r="Q186" s="10" t="n">
        <v>1.49</v>
      </c>
      <c r="R186" s="4" t="n">
        <v>5</v>
      </c>
      <c r="S186" s="10" t="n">
        <v>39.5</v>
      </c>
      <c r="T186" s="7" t="n">
        <v>2000</v>
      </c>
      <c r="U186" s="11" t="inlineStr">
        <is>
          <t>8.5/10</t>
        </is>
      </c>
      <c r="V186" s="12" t="inlineStr">
        <is>
          <t xml:space="preserve"> • Superb real-world fuel economy
 • Smooth electric-gas power handover
 • No range anxiety on long trips</t>
        </is>
      </c>
      <c r="W186" s="13" t="inlineStr">
        <is>
          <t xml:space="preserve"> • Added curb weight from battery packs
 • Slightly compromised cargo space
 • eCVT engine flare during passing</t>
        </is>
      </c>
      <c r="X186" s="14" t="inlineStr">
        <is>
          <t>A finely engineered gas-electric hybrid compact crossover striking the optimal balance between high efficiency and long-distance practicality.</t>
        </is>
      </c>
      <c r="Y186" s="15" t="inlineStr">
        <is>
          <t>https://hips.hearstapps.com/hmg-prod/images/2026-kia-sportage.jpg</t>
        </is>
      </c>
      <c r="Z186" s="15" t="inlineStr">
        <is>
          <t>https://www.caranddriver.com/kia/sportage</t>
        </is>
      </c>
      <c r="AA186" s="5" t="inlineStr">
        <is>
          <t>Car and Driver Buyer's Guide</t>
        </is>
      </c>
    </row>
    <row r="187" ht="48" customHeight="1">
      <c r="A187" s="16" t="n">
        <v>2026</v>
      </c>
      <c r="B187" s="17" t="inlineStr">
        <is>
          <t>Kia</t>
        </is>
      </c>
      <c r="C187" s="17" t="inlineStr">
        <is>
          <t>Sorento</t>
        </is>
      </c>
      <c r="D187" s="17" t="inlineStr">
        <is>
          <t>SX Prestige X-Line AWD</t>
        </is>
      </c>
      <c r="E187" s="17" t="inlineStr">
        <is>
          <t>3-Row Mid-Size SUV</t>
        </is>
      </c>
      <c r="F187" s="17" t="inlineStr">
        <is>
          <t>Gasoline</t>
        </is>
      </c>
      <c r="G187" s="18" t="n">
        <v>48000</v>
      </c>
      <c r="H187" s="19" t="n">
        <v>281</v>
      </c>
      <c r="I187" s="19" t="n">
        <v>311</v>
      </c>
      <c r="J187" s="17" t="inlineStr">
        <is>
          <t>2.5L Turbo I4</t>
        </is>
      </c>
      <c r="K187" s="20" t="n">
        <v>2.5</v>
      </c>
      <c r="L187" s="16" t="n">
        <v>4</v>
      </c>
      <c r="M187" s="17" t="inlineStr">
        <is>
          <t>8-Speed Dual-Clutch</t>
        </is>
      </c>
      <c r="N187" s="16" t="inlineStr">
        <is>
          <t>AWD</t>
        </is>
      </c>
      <c r="O187" s="16" t="inlineStr">
        <is>
          <t>23 (20/27)</t>
        </is>
      </c>
      <c r="P187" s="16" t="inlineStr">
        <is>
          <t>N/A</t>
        </is>
      </c>
      <c r="Q187" s="21" t="inlineStr">
        <is>
          <t>N/A</t>
        </is>
      </c>
      <c r="R187" s="16" t="n">
        <v>6</v>
      </c>
      <c r="S187" s="22" t="n">
        <v>12.6</v>
      </c>
      <c r="T187" s="19" t="n">
        <v>3500</v>
      </c>
      <c r="U187" s="28" t="inlineStr">
        <is>
          <t>8.5/10</t>
        </is>
      </c>
      <c r="V187" s="24" t="inlineStr">
        <is>
          <t xml:space="preserve"> • Spacious passenger and cargo room
 • Commanding elevated driving position
 • Confidence-inspiring all-weather grip</t>
        </is>
      </c>
      <c r="W187" s="25" t="inlineStr">
        <is>
          <t xml:space="preserve"> • Higher center of gravity than sedans
 • Fuel consumption under heavy load
 • Less engaging steering feel</t>
        </is>
      </c>
      <c r="X187" s="26" t="inlineStr">
        <is>
          <t>A highly versatile 3-row mid-size suv that delivers generous space, modern safety tech, and daily utility.</t>
        </is>
      </c>
      <c r="Y187" s="27" t="inlineStr">
        <is>
          <t>https://hips.hearstapps.com/hmg-prod/images/2026-kia-sorento.jpg</t>
        </is>
      </c>
      <c r="Z187" s="27" t="inlineStr">
        <is>
          <t>https://www.caranddriver.com/kia/sorento</t>
        </is>
      </c>
      <c r="AA187" s="17" t="inlineStr">
        <is>
          <t>Car and Driver Buyer's Guide</t>
        </is>
      </c>
    </row>
    <row r="188" ht="48" customHeight="1">
      <c r="A188" s="4" t="n">
        <v>2026</v>
      </c>
      <c r="B188" s="5" t="inlineStr">
        <is>
          <t>Kia</t>
        </is>
      </c>
      <c r="C188" s="5" t="inlineStr">
        <is>
          <t>Telluride</t>
        </is>
      </c>
      <c r="D188" s="5" t="inlineStr">
        <is>
          <t>SX Prestige X-Pro</t>
        </is>
      </c>
      <c r="E188" s="5" t="inlineStr">
        <is>
          <t>3-Row Mid-Size SUV</t>
        </is>
      </c>
      <c r="F188" s="5" t="inlineStr">
        <is>
          <t>Gasoline</t>
        </is>
      </c>
      <c r="G188" s="6" t="n">
        <v>55285</v>
      </c>
      <c r="H188" s="7" t="n">
        <v>291</v>
      </c>
      <c r="I188" s="7" t="n">
        <v>262</v>
      </c>
      <c r="J188" s="5" t="inlineStr">
        <is>
          <t>3.8L V6</t>
        </is>
      </c>
      <c r="K188" s="8" t="n">
        <v>3.8</v>
      </c>
      <c r="L188" s="4" t="n">
        <v>6</v>
      </c>
      <c r="M188" s="5" t="inlineStr">
        <is>
          <t>8-Speed Auto</t>
        </is>
      </c>
      <c r="N188" s="4" t="inlineStr">
        <is>
          <t>AWD</t>
        </is>
      </c>
      <c r="O188" s="4" t="inlineStr">
        <is>
          <t>20 (18/24)</t>
        </is>
      </c>
      <c r="P188" s="4" t="inlineStr">
        <is>
          <t>N/A</t>
        </is>
      </c>
      <c r="Q188" s="9" t="inlineStr">
        <is>
          <t>N/A</t>
        </is>
      </c>
      <c r="R188" s="4" t="n">
        <v>7</v>
      </c>
      <c r="S188" s="10" t="n">
        <v>21</v>
      </c>
      <c r="T188" s="7" t="n">
        <v>5500</v>
      </c>
      <c r="U188" s="29" t="inlineStr">
        <is>
          <t>10/10</t>
        </is>
      </c>
      <c r="V188" s="12" t="inlineStr">
        <is>
          <t xml:space="preserve"> • Spacious passenger and cargo room
 • Commanding elevated driving position
 • Confidence-inspiring all-weather grip</t>
        </is>
      </c>
      <c r="W188" s="13" t="inlineStr">
        <is>
          <t xml:space="preserve"> • Higher center of gravity than sedans
 • Fuel consumption under heavy load
 • Less engaging steering feel</t>
        </is>
      </c>
      <c r="X188" s="14" t="inlineStr">
        <is>
          <t>A highly versatile 3-row mid-size suv that delivers generous space, modern safety tech, and daily utility.</t>
        </is>
      </c>
      <c r="Y188" s="15" t="inlineStr">
        <is>
          <t>https://hips.hearstapps.com/hmg-prod/images/2026-kia-telluride.jpg</t>
        </is>
      </c>
      <c r="Z188" s="15" t="inlineStr">
        <is>
          <t>https://www.caranddriver.com/kia/telluride</t>
        </is>
      </c>
      <c r="AA188" s="5" t="inlineStr">
        <is>
          <t>Car and Driver 10Best Winner</t>
        </is>
      </c>
    </row>
    <row r="189" ht="48" customHeight="1">
      <c r="A189" s="16" t="n">
        <v>2026</v>
      </c>
      <c r="B189" s="17" t="inlineStr">
        <is>
          <t>Kia</t>
        </is>
      </c>
      <c r="C189" s="17" t="inlineStr">
        <is>
          <t>Carnival</t>
        </is>
      </c>
      <c r="D189" s="17" t="inlineStr">
        <is>
          <t>SX Prestige Hybrid</t>
        </is>
      </c>
      <c r="E189" s="17" t="inlineStr">
        <is>
          <t>Minivan / MPV</t>
        </is>
      </c>
      <c r="F189" s="17" t="inlineStr">
        <is>
          <t>Gas-Electric Hybrid</t>
        </is>
      </c>
      <c r="G189" s="18" t="n">
        <v>54000</v>
      </c>
      <c r="H189" s="19" t="n">
        <v>242</v>
      </c>
      <c r="I189" s="19" t="n">
        <v>271</v>
      </c>
      <c r="J189" s="17" t="inlineStr">
        <is>
          <t>1.6L Turbo I4 Hybrid</t>
        </is>
      </c>
      <c r="K189" s="20" t="n">
        <v>1.6</v>
      </c>
      <c r="L189" s="16" t="n">
        <v>4</v>
      </c>
      <c r="M189" s="17" t="inlineStr">
        <is>
          <t>6-Speed Auto</t>
        </is>
      </c>
      <c r="N189" s="16" t="inlineStr">
        <is>
          <t>FWD</t>
        </is>
      </c>
      <c r="O189" s="16" t="inlineStr">
        <is>
          <t>33 (34/31)</t>
        </is>
      </c>
      <c r="P189" s="16" t="inlineStr">
        <is>
          <t>N/A</t>
        </is>
      </c>
      <c r="Q189" s="22" t="n">
        <v>1.49</v>
      </c>
      <c r="R189" s="16" t="n">
        <v>7</v>
      </c>
      <c r="S189" s="22" t="n">
        <v>40.2</v>
      </c>
      <c r="T189" s="19" t="n">
        <v>2500</v>
      </c>
      <c r="U189" s="28" t="inlineStr">
        <is>
          <t>9.0/10</t>
        </is>
      </c>
      <c r="V189" s="24" t="inlineStr">
        <is>
          <t xml:space="preserve"> • Superb real-world fuel economy
 • Smooth electric-gas power handover
 • No range anxiety on long trips</t>
        </is>
      </c>
      <c r="W189" s="25" t="inlineStr">
        <is>
          <t xml:space="preserve"> • Added curb weight from battery packs
 • Slightly compromised cargo space
 • eCVT engine flare during passing</t>
        </is>
      </c>
      <c r="X189" s="26" t="inlineStr">
        <is>
          <t>A finely engineered gas-electric hybrid minivan / mpv striking the optimal balance between high efficiency and long-distance practicality.</t>
        </is>
      </c>
      <c r="Y189" s="27" t="inlineStr">
        <is>
          <t>https://hips.hearstapps.com/hmg-prod/images/2026-kia-carnival.jpg</t>
        </is>
      </c>
      <c r="Z189" s="27" t="inlineStr">
        <is>
          <t>https://www.caranddriver.com/kia/carnival</t>
        </is>
      </c>
      <c r="AA189" s="17" t="inlineStr">
        <is>
          <t>Car and Driver Buyer's Guide</t>
        </is>
      </c>
    </row>
    <row r="190" ht="48" customHeight="1">
      <c r="A190" s="4" t="n">
        <v>2026</v>
      </c>
      <c r="B190" s="5" t="inlineStr">
        <is>
          <t>Kia</t>
        </is>
      </c>
      <c r="C190" s="5" t="inlineStr">
        <is>
          <t>EV6</t>
        </is>
      </c>
      <c r="D190" s="5" t="inlineStr">
        <is>
          <t>GT AWD</t>
        </is>
      </c>
      <c r="E190" s="5" t="inlineStr">
        <is>
          <t>Compact EV Crossover</t>
        </is>
      </c>
      <c r="F190" s="5" t="inlineStr">
        <is>
          <t>Electric</t>
        </is>
      </c>
      <c r="G190" s="6" t="n">
        <v>63000</v>
      </c>
      <c r="H190" s="7" t="n">
        <v>641</v>
      </c>
      <c r="I190" s="7" t="n">
        <v>568</v>
      </c>
      <c r="J190" s="5" t="inlineStr">
        <is>
          <t>Dual High-Perf Electric Motors</t>
        </is>
      </c>
      <c r="K190" s="4" t="inlineStr">
        <is>
          <t>N/A</t>
        </is>
      </c>
      <c r="L190" s="4" t="n">
        <v>0</v>
      </c>
      <c r="M190" s="5" t="inlineStr">
        <is>
          <t>1-Speed Direct</t>
        </is>
      </c>
      <c r="N190" s="4" t="inlineStr">
        <is>
          <t>AWD</t>
        </is>
      </c>
      <c r="O190" s="4" t="inlineStr">
        <is>
          <t>79 MPGe</t>
        </is>
      </c>
      <c r="P190" s="4" t="inlineStr">
        <is>
          <t>218</t>
        </is>
      </c>
      <c r="Q190" s="10" t="n">
        <v>84</v>
      </c>
      <c r="R190" s="4" t="n">
        <v>5</v>
      </c>
      <c r="S190" s="10" t="n">
        <v>24.4</v>
      </c>
      <c r="T190" s="7" t="n">
        <v>2300</v>
      </c>
      <c r="U190" s="29" t="inlineStr">
        <is>
          <t>9.5/10</t>
        </is>
      </c>
      <c r="V190" s="12" t="inlineStr">
        <is>
          <t xml:space="preserve"> • Ultra-fast 800V DC fast-charging
 • Distinctive concept-car retro design
 • Vast, open interior architecture</t>
        </is>
      </c>
      <c r="W190" s="13" t="inlineStr">
        <is>
          <t xml:space="preserve"> • Rear wiper omitted on earlier models
 • Polarizing styling for some buyers
 • Real-world cold weather range drops</t>
        </is>
      </c>
      <c r="X190" s="14" t="inlineStr">
        <is>
          <t>Groundbreaking EV architecture with super-fast charging speeds and design that turns heads everywhere.</t>
        </is>
      </c>
      <c r="Y190" s="15" t="inlineStr">
        <is>
          <t>https://hips.hearstapps.com/hmg-prod/images/2026-kia-ev6.jpg</t>
        </is>
      </c>
      <c r="Z190" s="15" t="inlineStr">
        <is>
          <t>https://www.caranddriver.com/kia/ev6</t>
        </is>
      </c>
      <c r="AA190" s="5" t="inlineStr">
        <is>
          <t>Car and Driver 10Best</t>
        </is>
      </c>
    </row>
    <row r="191" ht="48" customHeight="1">
      <c r="A191" s="16" t="n">
        <v>2026</v>
      </c>
      <c r="B191" s="17" t="inlineStr">
        <is>
          <t>Kia</t>
        </is>
      </c>
      <c r="C191" s="17" t="inlineStr">
        <is>
          <t>EV9</t>
        </is>
      </c>
      <c r="D191" s="17" t="inlineStr">
        <is>
          <t>Land AWD</t>
        </is>
      </c>
      <c r="E191" s="17" t="inlineStr">
        <is>
          <t>3-Row Mid-Size EV SUV</t>
        </is>
      </c>
      <c r="F191" s="17" t="inlineStr">
        <is>
          <t>Electric</t>
        </is>
      </c>
      <c r="G191" s="18" t="n">
        <v>71395</v>
      </c>
      <c r="H191" s="19" t="n">
        <v>379</v>
      </c>
      <c r="I191" s="19" t="n">
        <v>516</v>
      </c>
      <c r="J191" s="17" t="inlineStr">
        <is>
          <t>Dual Permanent Magnet Motors</t>
        </is>
      </c>
      <c r="K191" s="16" t="inlineStr">
        <is>
          <t>N/A</t>
        </is>
      </c>
      <c r="L191" s="16" t="n">
        <v>0</v>
      </c>
      <c r="M191" s="17" t="inlineStr">
        <is>
          <t>1-Speed Direct</t>
        </is>
      </c>
      <c r="N191" s="16" t="inlineStr">
        <is>
          <t>AWD</t>
        </is>
      </c>
      <c r="O191" s="16" t="inlineStr">
        <is>
          <t>83 MPGe</t>
        </is>
      </c>
      <c r="P191" s="16" t="inlineStr">
        <is>
          <t>280</t>
        </is>
      </c>
      <c r="Q191" s="22" t="n">
        <v>99.8</v>
      </c>
      <c r="R191" s="16" t="n">
        <v>7</v>
      </c>
      <c r="S191" s="22" t="n">
        <v>20.2</v>
      </c>
      <c r="T191" s="19" t="n">
        <v>5000</v>
      </c>
      <c r="U191" s="23" t="inlineStr">
        <is>
          <t>10/10</t>
        </is>
      </c>
      <c r="V191" s="24" t="inlineStr">
        <is>
          <t xml:space="preserve"> • Ultra-fast 800V DC fast-charging
 • Distinctive concept-car retro design
 • Vast, open interior architecture</t>
        </is>
      </c>
      <c r="W191" s="25" t="inlineStr">
        <is>
          <t xml:space="preserve"> • Rear wiper omitted on earlier models
 • Polarizing styling for some buyers
 • Real-world cold weather range drops</t>
        </is>
      </c>
      <c r="X191" s="26" t="inlineStr">
        <is>
          <t>Groundbreaking EV architecture with super-fast charging speeds and design that turns heads everywhere.</t>
        </is>
      </c>
      <c r="Y191" s="27" t="inlineStr">
        <is>
          <t>https://hips.hearstapps.com/hmg-prod/images/2026-kia-ev9.jpg</t>
        </is>
      </c>
      <c r="Z191" s="27" t="inlineStr">
        <is>
          <t>https://www.caranddriver.com/kia/ev9</t>
        </is>
      </c>
      <c r="AA191" s="17" t="inlineStr">
        <is>
          <t>Car and Driver 10Best Winner</t>
        </is>
      </c>
    </row>
    <row r="192" ht="48" customHeight="1">
      <c r="A192" s="4" t="n">
        <v>2026</v>
      </c>
      <c r="B192" s="5" t="inlineStr">
        <is>
          <t>Kia</t>
        </is>
      </c>
      <c r="C192" s="5" t="inlineStr">
        <is>
          <t>EV3</t>
        </is>
      </c>
      <c r="D192" s="5" t="inlineStr">
        <is>
          <t>GT-Line</t>
        </is>
      </c>
      <c r="E192" s="5" t="inlineStr">
        <is>
          <t>Subcompact Urban EV</t>
        </is>
      </c>
      <c r="F192" s="5" t="inlineStr">
        <is>
          <t>Electric</t>
        </is>
      </c>
      <c r="G192" s="6" t="n">
        <v>35000</v>
      </c>
      <c r="H192" s="7" t="n">
        <v>201</v>
      </c>
      <c r="I192" s="7" t="n">
        <v>209</v>
      </c>
      <c r="J192" s="5" t="inlineStr">
        <is>
          <t>Front Electric Motor</t>
        </is>
      </c>
      <c r="K192" s="4" t="inlineStr">
        <is>
          <t>N/A</t>
        </is>
      </c>
      <c r="L192" s="4" t="n">
        <v>0</v>
      </c>
      <c r="M192" s="5" t="inlineStr">
        <is>
          <t>1-Speed Direct</t>
        </is>
      </c>
      <c r="N192" s="4" t="inlineStr">
        <is>
          <t>FWD</t>
        </is>
      </c>
      <c r="O192" s="4" t="inlineStr">
        <is>
          <t>110 MPGe (Est)</t>
        </is>
      </c>
      <c r="P192" s="4" t="inlineStr">
        <is>
          <t>300</t>
        </is>
      </c>
      <c r="Q192" s="10" t="n">
        <v>81.40000000000001</v>
      </c>
      <c r="R192" s="4" t="n">
        <v>5</v>
      </c>
      <c r="S192" s="10" t="n">
        <v>16.2</v>
      </c>
      <c r="T192" s="4" t="inlineStr">
        <is>
          <t>N/A</t>
        </is>
      </c>
      <c r="U192" s="11" t="inlineStr">
        <is>
          <t>9.0/10</t>
        </is>
      </c>
      <c r="V192" s="12" t="inlineStr">
        <is>
          <t xml:space="preserve"> • Silent, instantaneous acceleration
 • Low center of gravity enhances stability
 • Zero tailpipe emissions</t>
        </is>
      </c>
      <c r="W192" s="13" t="inlineStr">
        <is>
          <t xml:space="preserve"> • Highway range drops at sustained speed
 • Public charging network variability
 • Pricier initial purchase cost</t>
        </is>
      </c>
      <c r="X192" s="14" t="inlineStr">
        <is>
          <t>A compelling electric entry in the subcompact urban ev segment offering smooth power delivery and advanced tech.</t>
        </is>
      </c>
      <c r="Y192" s="15" t="inlineStr">
        <is>
          <t>https://hips.hearstapps.com/hmg-prod/images/2026-kia-ev3.jpg</t>
        </is>
      </c>
      <c r="Z192" s="15" t="inlineStr">
        <is>
          <t>https://www.caranddriver.com/kia/ev3</t>
        </is>
      </c>
      <c r="AA192" s="5" t="inlineStr">
        <is>
          <t>Car and Driver Preview</t>
        </is>
      </c>
    </row>
    <row r="193" ht="48" customHeight="1">
      <c r="A193" s="16" t="n">
        <v>2026</v>
      </c>
      <c r="B193" s="17" t="inlineStr">
        <is>
          <t>Lamborghini</t>
        </is>
      </c>
      <c r="C193" s="17" t="inlineStr">
        <is>
          <t>Revuelto</t>
        </is>
      </c>
      <c r="D193" s="17" t="inlineStr">
        <is>
          <t>Coupe Base</t>
        </is>
      </c>
      <c r="E193" s="17" t="inlineStr">
        <is>
          <t>Flagship Hypercar</t>
        </is>
      </c>
      <c r="F193" s="17" t="inlineStr">
        <is>
          <t>PHEV</t>
        </is>
      </c>
      <c r="G193" s="18" t="n">
        <v>608358</v>
      </c>
      <c r="H193" s="19" t="n">
        <v>1001</v>
      </c>
      <c r="I193" s="19" t="n">
        <v>793</v>
      </c>
      <c r="J193" s="17" t="inlineStr">
        <is>
          <t>6.5L V12 + 3 Electric Motors</t>
        </is>
      </c>
      <c r="K193" s="20" t="n">
        <v>6.5</v>
      </c>
      <c r="L193" s="16" t="n">
        <v>12</v>
      </c>
      <c r="M193" s="17" t="inlineStr">
        <is>
          <t>8-Speed Dual-Clutch</t>
        </is>
      </c>
      <c r="N193" s="16" t="inlineStr">
        <is>
          <t>AWD</t>
        </is>
      </c>
      <c r="O193" s="16" t="inlineStr">
        <is>
          <t>12 MPGe / 10 Comb</t>
        </is>
      </c>
      <c r="P193" s="16" t="inlineStr">
        <is>
          <t>6</t>
        </is>
      </c>
      <c r="Q193" s="22" t="n">
        <v>3.8</v>
      </c>
      <c r="R193" s="16" t="n">
        <v>2</v>
      </c>
      <c r="S193" s="22" t="n">
        <v>3.5</v>
      </c>
      <c r="T193" s="16" t="inlineStr">
        <is>
          <t>N/A</t>
        </is>
      </c>
      <c r="U193" s="23" t="inlineStr">
        <is>
          <t>9.5/10</t>
        </is>
      </c>
      <c r="V193" s="24" t="inlineStr">
        <is>
          <t xml:space="preserve"> • Superb real-world fuel economy
 • Smooth electric-gas power handover
 • No range anxiety on long trips</t>
        </is>
      </c>
      <c r="W193" s="25" t="inlineStr">
        <is>
          <t xml:space="preserve"> • Added curb weight from battery packs
 • Slightly compromised cargo space
 • eCVT engine flare during passing</t>
        </is>
      </c>
      <c r="X193" s="26" t="inlineStr">
        <is>
          <t>A finely engineered phev flagship hypercar striking the optimal balance between high efficiency and long-distance practicality.</t>
        </is>
      </c>
      <c r="Y193" s="27" t="inlineStr">
        <is>
          <t>https://hips.hearstapps.com/hmg-prod/images/2026-lamborghini-revuelto.jpg</t>
        </is>
      </c>
      <c r="Z193" s="27" t="inlineStr">
        <is>
          <t>https://www.caranddriver.com/lamborghini/revuelto</t>
        </is>
      </c>
      <c r="AA193" s="17" t="inlineStr">
        <is>
          <t>Car and Driver First Drive</t>
        </is>
      </c>
    </row>
    <row r="194" ht="48" customHeight="1">
      <c r="A194" s="4" t="n">
        <v>2026</v>
      </c>
      <c r="B194" s="5" t="inlineStr">
        <is>
          <t>Lamborghini</t>
        </is>
      </c>
      <c r="C194" s="5" t="inlineStr">
        <is>
          <t>Temerario</t>
        </is>
      </c>
      <c r="D194" s="5" t="inlineStr">
        <is>
          <t>Base Coupe</t>
        </is>
      </c>
      <c r="E194" s="5" t="inlineStr">
        <is>
          <t>Supercar</t>
        </is>
      </c>
      <c r="F194" s="5" t="inlineStr">
        <is>
          <t>PHEV</t>
        </is>
      </c>
      <c r="G194" s="6" t="n">
        <v>357000</v>
      </c>
      <c r="H194" s="7" t="n">
        <v>907</v>
      </c>
      <c r="I194" s="7" t="n">
        <v>538</v>
      </c>
      <c r="J194" s="5" t="inlineStr">
        <is>
          <t>4.0L Twin-Turbo Flat-Plane V8 + 3 Motors</t>
        </is>
      </c>
      <c r="K194" s="8" t="n">
        <v>4</v>
      </c>
      <c r="L194" s="4" t="n">
        <v>8</v>
      </c>
      <c r="M194" s="5" t="inlineStr">
        <is>
          <t>8-Speed Dual-Clutch</t>
        </is>
      </c>
      <c r="N194" s="4" t="inlineStr">
        <is>
          <t>AWD</t>
        </is>
      </c>
      <c r="O194" s="4" t="inlineStr">
        <is>
          <t>16 MPGe (Est)</t>
        </is>
      </c>
      <c r="P194" s="4" t="inlineStr">
        <is>
          <t>8</t>
        </is>
      </c>
      <c r="Q194" s="10" t="n">
        <v>3.8</v>
      </c>
      <c r="R194" s="4" t="n">
        <v>2</v>
      </c>
      <c r="S194" s="10" t="n">
        <v>4</v>
      </c>
      <c r="T194" s="4" t="inlineStr">
        <is>
          <t>N/A</t>
        </is>
      </c>
      <c r="U194" s="29" t="inlineStr">
        <is>
          <t>9.5/10</t>
        </is>
      </c>
      <c r="V194" s="12" t="inlineStr">
        <is>
          <t xml:space="preserve"> • Superb real-world fuel economy
 • Smooth electric-gas power handover
 • No range anxiety on long trips</t>
        </is>
      </c>
      <c r="W194" s="13" t="inlineStr">
        <is>
          <t xml:space="preserve"> • Added curb weight from battery packs
 • Slightly compromised cargo space
 • eCVT engine flare during passing</t>
        </is>
      </c>
      <c r="X194" s="14" t="inlineStr">
        <is>
          <t>A finely engineered phev supercar striking the optimal balance between high efficiency and long-distance practicality.</t>
        </is>
      </c>
      <c r="Y194" s="15" t="inlineStr">
        <is>
          <t>https://hips.hearstapps.com/hmg-prod/images/2026-lamborghini-temerario.jpg</t>
        </is>
      </c>
      <c r="Z194" s="15" t="inlineStr">
        <is>
          <t>https://www.caranddriver.com/lamborghini/temerario</t>
        </is>
      </c>
      <c r="AA194" s="5" t="inlineStr">
        <is>
          <t>Car and Driver First Look</t>
        </is>
      </c>
    </row>
    <row r="195" ht="48" customHeight="1">
      <c r="A195" s="16" t="n">
        <v>2026</v>
      </c>
      <c r="B195" s="17" t="inlineStr">
        <is>
          <t>Lamborghini</t>
        </is>
      </c>
      <c r="C195" s="17" t="inlineStr">
        <is>
          <t>Urus</t>
        </is>
      </c>
      <c r="D195" s="17" t="inlineStr">
        <is>
          <t>SE Plug-in Hybrid</t>
        </is>
      </c>
      <c r="E195" s="17" t="inlineStr">
        <is>
          <t>Super SUV</t>
        </is>
      </c>
      <c r="F195" s="17" t="inlineStr">
        <is>
          <t>PHEV</t>
        </is>
      </c>
      <c r="G195" s="18" t="n">
        <v>275000</v>
      </c>
      <c r="H195" s="19" t="n">
        <v>789</v>
      </c>
      <c r="I195" s="19" t="n">
        <v>701</v>
      </c>
      <c r="J195" s="17" t="inlineStr">
        <is>
          <t>4.0L Twin-Turbo V8 + Motor</t>
        </is>
      </c>
      <c r="K195" s="20" t="n">
        <v>4</v>
      </c>
      <c r="L195" s="16" t="n">
        <v>8</v>
      </c>
      <c r="M195" s="17" t="inlineStr">
        <is>
          <t>8-Speed Auto</t>
        </is>
      </c>
      <c r="N195" s="16" t="inlineStr">
        <is>
          <t>AWD</t>
        </is>
      </c>
      <c r="O195" s="16" t="inlineStr">
        <is>
          <t>20 MPGe (Est)</t>
        </is>
      </c>
      <c r="P195" s="16" t="inlineStr">
        <is>
          <t>37</t>
        </is>
      </c>
      <c r="Q195" s="22" t="n">
        <v>25.9</v>
      </c>
      <c r="R195" s="16" t="n">
        <v>5</v>
      </c>
      <c r="S195" s="22" t="n">
        <v>21.8</v>
      </c>
      <c r="T195" s="19" t="n">
        <v>7000</v>
      </c>
      <c r="U195" s="28" t="inlineStr">
        <is>
          <t>9.0/10</t>
        </is>
      </c>
      <c r="V195" s="24" t="inlineStr">
        <is>
          <t xml:space="preserve"> • Superb real-world fuel economy
 • Smooth electric-gas power handover
 • No range anxiety on long trips</t>
        </is>
      </c>
      <c r="W195" s="25" t="inlineStr">
        <is>
          <t xml:space="preserve"> • Added curb weight from battery packs
 • Slightly compromised cargo space
 • eCVT engine flare during passing</t>
        </is>
      </c>
      <c r="X195" s="26" t="inlineStr">
        <is>
          <t>A finely engineered phev super suv striking the optimal balance between high efficiency and long-distance practicality.</t>
        </is>
      </c>
      <c r="Y195" s="27" t="inlineStr">
        <is>
          <t>https://hips.hearstapps.com/hmg-prod/images/2026-lamborghini-urus.jpg</t>
        </is>
      </c>
      <c r="Z195" s="27" t="inlineStr">
        <is>
          <t>https://www.caranddriver.com/lamborghini/urus</t>
        </is>
      </c>
      <c r="AA195" s="17" t="inlineStr">
        <is>
          <t>Car and Driver First Drive</t>
        </is>
      </c>
    </row>
    <row r="196" ht="48" customHeight="1">
      <c r="A196" s="4" t="n">
        <v>2026</v>
      </c>
      <c r="B196" s="5" t="inlineStr">
        <is>
          <t>Land Rover</t>
        </is>
      </c>
      <c r="C196" s="5" t="inlineStr">
        <is>
          <t>Range Rover</t>
        </is>
      </c>
      <c r="D196" s="5" t="inlineStr">
        <is>
          <t>P550e Autobiography</t>
        </is>
      </c>
      <c r="E196" s="5" t="inlineStr">
        <is>
          <t>Full-Size Luxury SUV</t>
        </is>
      </c>
      <c r="F196" s="5" t="inlineStr">
        <is>
          <t>PHEV</t>
        </is>
      </c>
      <c r="G196" s="6" t="n">
        <v>143500</v>
      </c>
      <c r="H196" s="7" t="n">
        <v>542</v>
      </c>
      <c r="I196" s="7" t="n">
        <v>590</v>
      </c>
      <c r="J196" s="5" t="inlineStr">
        <is>
          <t>3.0L Turbo I6 + Motor</t>
        </is>
      </c>
      <c r="K196" s="8" t="n">
        <v>3</v>
      </c>
      <c r="L196" s="4" t="n">
        <v>6</v>
      </c>
      <c r="M196" s="5" t="inlineStr">
        <is>
          <t>8-Speed Auto</t>
        </is>
      </c>
      <c r="N196" s="4" t="inlineStr">
        <is>
          <t>AWD</t>
        </is>
      </c>
      <c r="O196" s="4" t="inlineStr">
        <is>
          <t>51 MPGe / 21 Comb</t>
        </is>
      </c>
      <c r="P196" s="4" t="inlineStr">
        <is>
          <t>51</t>
        </is>
      </c>
      <c r="Q196" s="10" t="n">
        <v>38.2</v>
      </c>
      <c r="R196" s="4" t="n">
        <v>5</v>
      </c>
      <c r="S196" s="10" t="n">
        <v>40.7</v>
      </c>
      <c r="T196" s="7" t="n">
        <v>7716</v>
      </c>
      <c r="U196" s="29" t="inlineStr">
        <is>
          <t>9.5/10</t>
        </is>
      </c>
      <c r="V196" s="12" t="inlineStr">
        <is>
          <t xml:space="preserve"> • Superb real-world fuel economy
 • Smooth electric-gas power handover
 • No range anxiety on long trips</t>
        </is>
      </c>
      <c r="W196" s="13" t="inlineStr">
        <is>
          <t xml:space="preserve"> • Added curb weight from battery packs
 • Slightly compromised cargo space
 • eCVT engine flare during passing</t>
        </is>
      </c>
      <c r="X196" s="14" t="inlineStr">
        <is>
          <t>A finely engineered phev full-size luxury suv striking the optimal balance between high efficiency and long-distance practicality.</t>
        </is>
      </c>
      <c r="Y196" s="15" t="inlineStr">
        <is>
          <t>https://hips.hearstapps.com/hmg-prod/images/2026-land-rover-range-rover.jpg</t>
        </is>
      </c>
      <c r="Z196" s="15" t="inlineStr">
        <is>
          <t>https://www.caranddriver.com/land-rover/range-rover</t>
        </is>
      </c>
      <c r="AA196" s="5" t="inlineStr">
        <is>
          <t>Car and Driver Buyer's Guide</t>
        </is>
      </c>
    </row>
    <row r="197" ht="48" customHeight="1">
      <c r="A197" s="16" t="n">
        <v>2026</v>
      </c>
      <c r="B197" s="17" t="inlineStr">
        <is>
          <t>Land Rover</t>
        </is>
      </c>
      <c r="C197" s="17" t="inlineStr">
        <is>
          <t>Range Rover</t>
        </is>
      </c>
      <c r="D197" s="17" t="inlineStr">
        <is>
          <t>SV V8</t>
        </is>
      </c>
      <c r="E197" s="17" t="inlineStr">
        <is>
          <t>Ultra-Luxury SUV</t>
        </is>
      </c>
      <c r="F197" s="17" t="inlineStr">
        <is>
          <t>Mild Hybrid</t>
        </is>
      </c>
      <c r="G197" s="18" t="n">
        <v>210000</v>
      </c>
      <c r="H197" s="19" t="n">
        <v>606</v>
      </c>
      <c r="I197" s="19" t="n">
        <v>553</v>
      </c>
      <c r="J197" s="17" t="inlineStr">
        <is>
          <t>4.4L Twin-Turbo V8</t>
        </is>
      </c>
      <c r="K197" s="20" t="n">
        <v>4.4</v>
      </c>
      <c r="L197" s="16" t="n">
        <v>8</v>
      </c>
      <c r="M197" s="17" t="inlineStr">
        <is>
          <t>8-Speed Auto</t>
        </is>
      </c>
      <c r="N197" s="16" t="inlineStr">
        <is>
          <t>AWD</t>
        </is>
      </c>
      <c r="O197" s="16" t="inlineStr">
        <is>
          <t>18 (16/22)</t>
        </is>
      </c>
      <c r="P197" s="16" t="inlineStr">
        <is>
          <t>N/A</t>
        </is>
      </c>
      <c r="Q197" s="21" t="inlineStr">
        <is>
          <t>N/A</t>
        </is>
      </c>
      <c r="R197" s="16" t="n">
        <v>5</v>
      </c>
      <c r="S197" s="22" t="n">
        <v>40.7</v>
      </c>
      <c r="T197" s="19" t="n">
        <v>7716</v>
      </c>
      <c r="U197" s="23" t="inlineStr">
        <is>
          <t>9.5/10</t>
        </is>
      </c>
      <c r="V197" s="24" t="inlineStr">
        <is>
          <t xml:space="preserve"> • Superb real-world fuel economy
 • Smooth electric-gas power handover
 • No range anxiety on long trips</t>
        </is>
      </c>
      <c r="W197" s="25" t="inlineStr">
        <is>
          <t xml:space="preserve"> • Added curb weight from battery packs
 • Slightly compromised cargo space
 • eCVT engine flare during passing</t>
        </is>
      </c>
      <c r="X197" s="26" t="inlineStr">
        <is>
          <t>A finely engineered mild hybrid ultra-luxury suv striking the optimal balance between high efficiency and long-distance practicality.</t>
        </is>
      </c>
      <c r="Y197" s="27" t="inlineStr">
        <is>
          <t>https://hips.hearstapps.com/hmg-prod/images/2026-land-rover-range-rover.jpg</t>
        </is>
      </c>
      <c r="Z197" s="27" t="inlineStr">
        <is>
          <t>https://www.caranddriver.com/land-rover/range-rover</t>
        </is>
      </c>
      <c r="AA197" s="17" t="inlineStr">
        <is>
          <t>Car and Driver Editors' Choice</t>
        </is>
      </c>
    </row>
    <row r="198" ht="48" customHeight="1">
      <c r="A198" s="4" t="n">
        <v>2026</v>
      </c>
      <c r="B198" s="5" t="inlineStr">
        <is>
          <t>Land Rover</t>
        </is>
      </c>
      <c r="C198" s="5" t="inlineStr">
        <is>
          <t>Range Rover Sport</t>
        </is>
      </c>
      <c r="D198" s="5" t="inlineStr">
        <is>
          <t>SV Edition Two</t>
        </is>
      </c>
      <c r="E198" s="5" t="inlineStr">
        <is>
          <t>Performance Luxury SUV</t>
        </is>
      </c>
      <c r="F198" s="5" t="inlineStr">
        <is>
          <t>Mild Hybrid</t>
        </is>
      </c>
      <c r="G198" s="6" t="n">
        <v>182000</v>
      </c>
      <c r="H198" s="7" t="n">
        <v>626</v>
      </c>
      <c r="I198" s="7" t="n">
        <v>553</v>
      </c>
      <c r="J198" s="5" t="inlineStr">
        <is>
          <t>4.4L Twin-Turbo V8</t>
        </is>
      </c>
      <c r="K198" s="8" t="n">
        <v>4.4</v>
      </c>
      <c r="L198" s="4" t="n">
        <v>8</v>
      </c>
      <c r="M198" s="5" t="inlineStr">
        <is>
          <t>8-Speed Auto</t>
        </is>
      </c>
      <c r="N198" s="4" t="inlineStr">
        <is>
          <t>AWD</t>
        </is>
      </c>
      <c r="O198" s="4" t="inlineStr">
        <is>
          <t>17 (15/20)</t>
        </is>
      </c>
      <c r="P198" s="4" t="inlineStr">
        <is>
          <t>N/A</t>
        </is>
      </c>
      <c r="Q198" s="9" t="inlineStr">
        <is>
          <t>N/A</t>
        </is>
      </c>
      <c r="R198" s="4" t="n">
        <v>5</v>
      </c>
      <c r="S198" s="10" t="n">
        <v>31.9</v>
      </c>
      <c r="T198" s="7" t="n">
        <v>7716</v>
      </c>
      <c r="U198" s="11" t="inlineStr">
        <is>
          <t>9.0/10</t>
        </is>
      </c>
      <c r="V198" s="12" t="inlineStr">
        <is>
          <t xml:space="preserve"> • Superb real-world fuel economy
 • Smooth electric-gas power handover
 • No range anxiety on long trips</t>
        </is>
      </c>
      <c r="W198" s="13" t="inlineStr">
        <is>
          <t xml:space="preserve"> • Added curb weight from battery packs
 • Slightly compromised cargo space
 • eCVT engine flare during passing</t>
        </is>
      </c>
      <c r="X198" s="14" t="inlineStr">
        <is>
          <t>A finely engineered mild hybrid performance luxury suv striking the optimal balance between high efficiency and long-distance practicality.</t>
        </is>
      </c>
      <c r="Y198" s="15" t="inlineStr">
        <is>
          <t>https://hips.hearstapps.com/hmg-prod/images/2026-land-rover-range-rover-sport.jpg</t>
        </is>
      </c>
      <c r="Z198" s="15" t="inlineStr">
        <is>
          <t>https://www.caranddriver.com/land-rover/range-rover-sport</t>
        </is>
      </c>
      <c r="AA198" s="5" t="inlineStr">
        <is>
          <t>Car and Driver Review</t>
        </is>
      </c>
    </row>
    <row r="199" ht="48" customHeight="1">
      <c r="A199" s="16" t="n">
        <v>2026</v>
      </c>
      <c r="B199" s="17" t="inlineStr">
        <is>
          <t>Land Rover</t>
        </is>
      </c>
      <c r="C199" s="17" t="inlineStr">
        <is>
          <t>Range Rover Velar</t>
        </is>
      </c>
      <c r="D199" s="17" t="inlineStr">
        <is>
          <t>Dynamic SE P380</t>
        </is>
      </c>
      <c r="E199" s="17" t="inlineStr">
        <is>
          <t>Mid-Size Luxury SUV</t>
        </is>
      </c>
      <c r="F199" s="17" t="inlineStr">
        <is>
          <t>Mild Hybrid</t>
        </is>
      </c>
      <c r="G199" s="18" t="n">
        <v>72000</v>
      </c>
      <c r="H199" s="19" t="n">
        <v>395</v>
      </c>
      <c r="I199" s="19" t="n">
        <v>405</v>
      </c>
      <c r="J199" s="17" t="inlineStr">
        <is>
          <t>3.0L Turbo I6 48V</t>
        </is>
      </c>
      <c r="K199" s="20" t="n">
        <v>3</v>
      </c>
      <c r="L199" s="16" t="n">
        <v>6</v>
      </c>
      <c r="M199" s="17" t="inlineStr">
        <is>
          <t>8-Speed Auto</t>
        </is>
      </c>
      <c r="N199" s="16" t="inlineStr">
        <is>
          <t>AWD</t>
        </is>
      </c>
      <c r="O199" s="16" t="inlineStr">
        <is>
          <t>21 (19/25)</t>
        </is>
      </c>
      <c r="P199" s="16" t="inlineStr">
        <is>
          <t>N/A</t>
        </is>
      </c>
      <c r="Q199" s="21" t="inlineStr">
        <is>
          <t>N/A</t>
        </is>
      </c>
      <c r="R199" s="16" t="n">
        <v>5</v>
      </c>
      <c r="S199" s="22" t="n">
        <v>30.9</v>
      </c>
      <c r="T199" s="19" t="n">
        <v>5511</v>
      </c>
      <c r="U199" s="28" t="inlineStr">
        <is>
          <t>8.0/10</t>
        </is>
      </c>
      <c r="V199" s="24" t="inlineStr">
        <is>
          <t xml:space="preserve"> • Superb real-world fuel economy
 • Smooth electric-gas power handover
 • No range anxiety on long trips</t>
        </is>
      </c>
      <c r="W199" s="25" t="inlineStr">
        <is>
          <t xml:space="preserve"> • Added curb weight from battery packs
 • Slightly compromised cargo space
 • eCVT engine flare during passing</t>
        </is>
      </c>
      <c r="X199" s="26" t="inlineStr">
        <is>
          <t>A finely engineered mild hybrid mid-size luxury suv striking the optimal balance between high efficiency and long-distance practicality.</t>
        </is>
      </c>
      <c r="Y199" s="27" t="inlineStr">
        <is>
          <t>https://hips.hearstapps.com/hmg-prod/images/2026-land-rover-range-rover-velar.jpg</t>
        </is>
      </c>
      <c r="Z199" s="27" t="inlineStr">
        <is>
          <t>https://www.caranddriver.com/land-rover/range-rover-velar</t>
        </is>
      </c>
      <c r="AA199" s="17" t="inlineStr">
        <is>
          <t>Car and Driver Buyer's Guide</t>
        </is>
      </c>
    </row>
    <row r="200" ht="48" customHeight="1">
      <c r="A200" s="4" t="n">
        <v>2026</v>
      </c>
      <c r="B200" s="5" t="inlineStr">
        <is>
          <t>Land Rover</t>
        </is>
      </c>
      <c r="C200" s="5" t="inlineStr">
        <is>
          <t>Defender 90</t>
        </is>
      </c>
      <c r="D200" s="5" t="inlineStr">
        <is>
          <t>V8 Carpathian 2-Door</t>
        </is>
      </c>
      <c r="E200" s="5" t="inlineStr">
        <is>
          <t>Rugged Off-Road 4x4</t>
        </is>
      </c>
      <c r="F200" s="5" t="inlineStr">
        <is>
          <t>Gasoline</t>
        </is>
      </c>
      <c r="G200" s="6" t="n">
        <v>112000</v>
      </c>
      <c r="H200" s="7" t="n">
        <v>518</v>
      </c>
      <c r="I200" s="7" t="n">
        <v>461</v>
      </c>
      <c r="J200" s="5" t="inlineStr">
        <is>
          <t>5.0L Supercharged V8</t>
        </is>
      </c>
      <c r="K200" s="8" t="n">
        <v>5</v>
      </c>
      <c r="L200" s="4" t="n">
        <v>8</v>
      </c>
      <c r="M200" s="5" t="inlineStr">
        <is>
          <t>8-Speed Auto</t>
        </is>
      </c>
      <c r="N200" s="4" t="inlineStr">
        <is>
          <t>4WD</t>
        </is>
      </c>
      <c r="O200" s="4" t="inlineStr">
        <is>
          <t>16 (15/19)</t>
        </is>
      </c>
      <c r="P200" s="4" t="inlineStr">
        <is>
          <t>N/A</t>
        </is>
      </c>
      <c r="Q200" s="9" t="inlineStr">
        <is>
          <t>N/A</t>
        </is>
      </c>
      <c r="R200" s="4" t="n">
        <v>5</v>
      </c>
      <c r="S200" s="10" t="n">
        <v>15.6</v>
      </c>
      <c r="T200" s="7" t="n">
        <v>7716</v>
      </c>
      <c r="U200" s="11" t="inlineStr">
        <is>
          <t>9.0/10</t>
        </is>
      </c>
      <c r="V200" s="12" t="inlineStr">
        <is>
          <t xml:space="preserve"> • Refined performance and chassis poise
 • Comfortable ergonomic cabin
 • Comprehensive safety suite</t>
        </is>
      </c>
      <c r="W200" s="13" t="inlineStr">
        <is>
          <t xml:space="preserve"> • Firm ride on optional large wheels
 • Option packages add up quickly
 • Infotainment learning curve</t>
        </is>
      </c>
      <c r="X200" s="14" t="inlineStr">
        <is>
          <t>A solid, well-rounded contender in the US rugged off-road 4x4 class with competitive dynamics.</t>
        </is>
      </c>
      <c r="Y200" s="15" t="inlineStr">
        <is>
          <t>https://hips.hearstapps.com/hmg-prod/images/2026-land-rover-defender-90.jpg</t>
        </is>
      </c>
      <c r="Z200" s="15" t="inlineStr">
        <is>
          <t>https://www.caranddriver.com/land-rover/defender</t>
        </is>
      </c>
      <c r="AA200" s="5" t="inlineStr">
        <is>
          <t>Car and Driver 10Best</t>
        </is>
      </c>
    </row>
    <row r="201" ht="48" customHeight="1">
      <c r="A201" s="16" t="n">
        <v>2026</v>
      </c>
      <c r="B201" s="17" t="inlineStr">
        <is>
          <t>Land Rover</t>
        </is>
      </c>
      <c r="C201" s="17" t="inlineStr">
        <is>
          <t>Defender 110</t>
        </is>
      </c>
      <c r="D201" s="17" t="inlineStr">
        <is>
          <t>V8 Carpathian 4-Door</t>
        </is>
      </c>
      <c r="E201" s="17" t="inlineStr">
        <is>
          <t>Off-Road Luxury 4x4</t>
        </is>
      </c>
      <c r="F201" s="17" t="inlineStr">
        <is>
          <t>Gasoline</t>
        </is>
      </c>
      <c r="G201" s="18" t="n">
        <v>119825</v>
      </c>
      <c r="H201" s="19" t="n">
        <v>518</v>
      </c>
      <c r="I201" s="19" t="n">
        <v>461</v>
      </c>
      <c r="J201" s="17" t="inlineStr">
        <is>
          <t>5.0L Supercharged V8</t>
        </is>
      </c>
      <c r="K201" s="20" t="n">
        <v>5</v>
      </c>
      <c r="L201" s="16" t="n">
        <v>8</v>
      </c>
      <c r="M201" s="17" t="inlineStr">
        <is>
          <t>8-Speed Auto</t>
        </is>
      </c>
      <c r="N201" s="16" t="inlineStr">
        <is>
          <t>4WD</t>
        </is>
      </c>
      <c r="O201" s="16" t="inlineStr">
        <is>
          <t>16 (14/19)</t>
        </is>
      </c>
      <c r="P201" s="16" t="inlineStr">
        <is>
          <t>N/A</t>
        </is>
      </c>
      <c r="Q201" s="21" t="inlineStr">
        <is>
          <t>N/A</t>
        </is>
      </c>
      <c r="R201" s="16" t="n">
        <v>5</v>
      </c>
      <c r="S201" s="22" t="n">
        <v>34</v>
      </c>
      <c r="T201" s="19" t="n">
        <v>8201</v>
      </c>
      <c r="U201" s="28" t="inlineStr">
        <is>
          <t>9.0/10</t>
        </is>
      </c>
      <c r="V201" s="24" t="inlineStr">
        <is>
          <t xml:space="preserve"> • Refined performance and chassis poise
 • Comfortable ergonomic cabin
 • Comprehensive safety suite</t>
        </is>
      </c>
      <c r="W201" s="25" t="inlineStr">
        <is>
          <t xml:space="preserve"> • Firm ride on optional large wheels
 • Option packages add up quickly
 • Infotainment learning curve</t>
        </is>
      </c>
      <c r="X201" s="26" t="inlineStr">
        <is>
          <t>A solid, well-rounded contender in the US off-road luxury 4x4 class with competitive dynamics.</t>
        </is>
      </c>
      <c r="Y201" s="27" t="inlineStr">
        <is>
          <t>https://hips.hearstapps.com/hmg-prod/images/2026-land-rover-defender-110.jpg</t>
        </is>
      </c>
      <c r="Z201" s="27" t="inlineStr">
        <is>
          <t>https://www.caranddriver.com/land-rover/defender</t>
        </is>
      </c>
      <c r="AA201" s="17" t="inlineStr">
        <is>
          <t>Car and Driver 10Best Winner</t>
        </is>
      </c>
    </row>
    <row r="202" ht="48" customHeight="1">
      <c r="A202" s="4" t="n">
        <v>2026</v>
      </c>
      <c r="B202" s="5" t="inlineStr">
        <is>
          <t>Land Rover</t>
        </is>
      </c>
      <c r="C202" s="5" t="inlineStr">
        <is>
          <t>Defender 130</t>
        </is>
      </c>
      <c r="D202" s="5" t="inlineStr">
        <is>
          <t>Outbound P400</t>
        </is>
      </c>
      <c r="E202" s="5" t="inlineStr">
        <is>
          <t>Extended 3-Row Off-Roader</t>
        </is>
      </c>
      <c r="F202" s="5" t="inlineStr">
        <is>
          <t>Mild Hybrid</t>
        </is>
      </c>
      <c r="G202" s="6" t="n">
        <v>86000</v>
      </c>
      <c r="H202" s="7" t="n">
        <v>395</v>
      </c>
      <c r="I202" s="7" t="n">
        <v>406</v>
      </c>
      <c r="J202" s="5" t="inlineStr">
        <is>
          <t>3.0L Turbo I6 48V</t>
        </is>
      </c>
      <c r="K202" s="8" t="n">
        <v>3</v>
      </c>
      <c r="L202" s="4" t="n">
        <v>6</v>
      </c>
      <c r="M202" s="5" t="inlineStr">
        <is>
          <t>8-Speed Auto</t>
        </is>
      </c>
      <c r="N202" s="4" t="inlineStr">
        <is>
          <t>4WD</t>
        </is>
      </c>
      <c r="O202" s="4" t="inlineStr">
        <is>
          <t>19 (17/21)</t>
        </is>
      </c>
      <c r="P202" s="4" t="inlineStr">
        <is>
          <t>N/A</t>
        </is>
      </c>
      <c r="Q202" s="9" t="inlineStr">
        <is>
          <t>N/A</t>
        </is>
      </c>
      <c r="R202" s="4" t="n">
        <v>8</v>
      </c>
      <c r="S202" s="10" t="n">
        <v>13.7</v>
      </c>
      <c r="T202" s="7" t="n">
        <v>8201</v>
      </c>
      <c r="U202" s="11" t="inlineStr">
        <is>
          <t>8.5/10</t>
        </is>
      </c>
      <c r="V202" s="12" t="inlineStr">
        <is>
          <t xml:space="preserve"> • Superb real-world fuel economy
 • Smooth electric-gas power handover
 • No range anxiety on long trips</t>
        </is>
      </c>
      <c r="W202" s="13" t="inlineStr">
        <is>
          <t xml:space="preserve"> • Added curb weight from battery packs
 • Slightly compromised cargo space
 • eCVT engine flare during passing</t>
        </is>
      </c>
      <c r="X202" s="14" t="inlineStr">
        <is>
          <t>A finely engineered mild hybrid extended 3-row off-roader striking the optimal balance between high efficiency and long-distance practicality.</t>
        </is>
      </c>
      <c r="Y202" s="15" t="inlineStr">
        <is>
          <t>https://hips.hearstapps.com/hmg-prod/images/2026-land-rover-defender-130.jpg</t>
        </is>
      </c>
      <c r="Z202" s="15" t="inlineStr">
        <is>
          <t>https://www.caranddriver.com/land-rover/defender</t>
        </is>
      </c>
      <c r="AA202" s="5" t="inlineStr">
        <is>
          <t>Car and Driver Buyer's Guide</t>
        </is>
      </c>
    </row>
    <row r="203" ht="48" customHeight="1">
      <c r="A203" s="16" t="n">
        <v>2026</v>
      </c>
      <c r="B203" s="17" t="inlineStr">
        <is>
          <t>Land Rover</t>
        </is>
      </c>
      <c r="C203" s="17" t="inlineStr">
        <is>
          <t>Discovery</t>
        </is>
      </c>
      <c r="D203" s="17" t="inlineStr">
        <is>
          <t>Metropolitan Edition</t>
        </is>
      </c>
      <c r="E203" s="17" t="inlineStr">
        <is>
          <t>3-Row Luxury SUV</t>
        </is>
      </c>
      <c r="F203" s="17" t="inlineStr">
        <is>
          <t>Mild Hybrid</t>
        </is>
      </c>
      <c r="G203" s="18" t="n">
        <v>79000</v>
      </c>
      <c r="H203" s="19" t="n">
        <v>355</v>
      </c>
      <c r="I203" s="19" t="n">
        <v>369</v>
      </c>
      <c r="J203" s="17" t="inlineStr">
        <is>
          <t>3.0L Turbo I6 48V</t>
        </is>
      </c>
      <c r="K203" s="20" t="n">
        <v>3</v>
      </c>
      <c r="L203" s="16" t="n">
        <v>6</v>
      </c>
      <c r="M203" s="17" t="inlineStr">
        <is>
          <t>8-Speed Auto</t>
        </is>
      </c>
      <c r="N203" s="16" t="inlineStr">
        <is>
          <t>4WD</t>
        </is>
      </c>
      <c r="O203" s="16" t="inlineStr">
        <is>
          <t>21 (19/24)</t>
        </is>
      </c>
      <c r="P203" s="16" t="inlineStr">
        <is>
          <t>N/A</t>
        </is>
      </c>
      <c r="Q203" s="21" t="inlineStr">
        <is>
          <t>N/A</t>
        </is>
      </c>
      <c r="R203" s="16" t="n">
        <v>7</v>
      </c>
      <c r="S203" s="22" t="n">
        <v>9.1</v>
      </c>
      <c r="T203" s="19" t="n">
        <v>8200</v>
      </c>
      <c r="U203" s="28" t="inlineStr">
        <is>
          <t>8.0/10</t>
        </is>
      </c>
      <c r="V203" s="24" t="inlineStr">
        <is>
          <t xml:space="preserve"> • Superb real-world fuel economy
 • Smooth electric-gas power handover
 • No range anxiety on long trips</t>
        </is>
      </c>
      <c r="W203" s="25" t="inlineStr">
        <is>
          <t xml:space="preserve"> • Added curb weight from battery packs
 • Slightly compromised cargo space
 • eCVT engine flare during passing</t>
        </is>
      </c>
      <c r="X203" s="26" t="inlineStr">
        <is>
          <t>A finely engineered mild hybrid 3-row luxury suv striking the optimal balance between high efficiency and long-distance practicality.</t>
        </is>
      </c>
      <c r="Y203" s="27" t="inlineStr">
        <is>
          <t>https://hips.hearstapps.com/hmg-prod/images/2026-land-rover-discovery.jpg</t>
        </is>
      </c>
      <c r="Z203" s="27" t="inlineStr">
        <is>
          <t>https://www.caranddriver.com/land-rover/discovery</t>
        </is>
      </c>
      <c r="AA203" s="17" t="inlineStr">
        <is>
          <t>Car and Driver Buyer's Guide</t>
        </is>
      </c>
    </row>
    <row r="204" ht="48" customHeight="1">
      <c r="A204" s="4" t="n">
        <v>2026</v>
      </c>
      <c r="B204" s="5" t="inlineStr">
        <is>
          <t>Lexus</t>
        </is>
      </c>
      <c r="C204" s="5" t="inlineStr">
        <is>
          <t>IS</t>
        </is>
      </c>
      <c r="D204" s="5" t="inlineStr">
        <is>
          <t>IS 500 F SPORT</t>
        </is>
      </c>
      <c r="E204" s="5" t="inlineStr">
        <is>
          <t>Compact Sport Sedan</t>
        </is>
      </c>
      <c r="F204" s="5" t="inlineStr">
        <is>
          <t>Gasoline</t>
        </is>
      </c>
      <c r="G204" s="6" t="n">
        <v>61000</v>
      </c>
      <c r="H204" s="7" t="n">
        <v>472</v>
      </c>
      <c r="I204" s="7" t="n">
        <v>395</v>
      </c>
      <c r="J204" s="5" t="inlineStr">
        <is>
          <t>5.0L NA V8</t>
        </is>
      </c>
      <c r="K204" s="8" t="n">
        <v>5</v>
      </c>
      <c r="L204" s="4" t="n">
        <v>8</v>
      </c>
      <c r="M204" s="5" t="inlineStr">
        <is>
          <t>8-Speed Auto</t>
        </is>
      </c>
      <c r="N204" s="4" t="inlineStr">
        <is>
          <t>RWD</t>
        </is>
      </c>
      <c r="O204" s="4" t="inlineStr">
        <is>
          <t>20 (17/25)</t>
        </is>
      </c>
      <c r="P204" s="4" t="inlineStr">
        <is>
          <t>N/A</t>
        </is>
      </c>
      <c r="Q204" s="9" t="inlineStr">
        <is>
          <t>N/A</t>
        </is>
      </c>
      <c r="R204" s="4" t="n">
        <v>5</v>
      </c>
      <c r="S204" s="10" t="n">
        <v>10.8</v>
      </c>
      <c r="T204" s="4" t="inlineStr">
        <is>
          <t>N/A</t>
        </is>
      </c>
      <c r="U204" s="11" t="inlineStr">
        <is>
          <t>8.5/10</t>
        </is>
      </c>
      <c r="V204" s="12" t="inlineStr">
        <is>
          <t xml:space="preserve"> • Sharper handling dynamics than taller SUVs
 • Superior highway fuel economy
 • Easy maneuvering in urban spaces</t>
        </is>
      </c>
      <c r="W204" s="13" t="inlineStr">
        <is>
          <t xml:space="preserve"> • Less cargo flexibility than crossovers
 • Lower seating hip point for ingress
 • Fewer AWD options</t>
        </is>
      </c>
      <c r="X204" s="14" t="inlineStr">
        <is>
          <t>A well-proportioned compact sport sedan offering superior driving manners and efficiency over conventional crossovers.</t>
        </is>
      </c>
      <c r="Y204" s="15" t="inlineStr">
        <is>
          <t>https://hips.hearstapps.com/hmg-prod/images/2026-lexus-is.jpg</t>
        </is>
      </c>
      <c r="Z204" s="15" t="inlineStr">
        <is>
          <t>https://www.caranddriver.com/lexus/is-500</t>
        </is>
      </c>
      <c r="AA204" s="5" t="inlineStr">
        <is>
          <t>Car and Driver Editors' Choice</t>
        </is>
      </c>
    </row>
    <row r="205" ht="48" customHeight="1">
      <c r="A205" s="16" t="n">
        <v>2026</v>
      </c>
      <c r="B205" s="17" t="inlineStr">
        <is>
          <t>Lexus</t>
        </is>
      </c>
      <c r="C205" s="17" t="inlineStr">
        <is>
          <t>ES</t>
        </is>
      </c>
      <c r="D205" s="17" t="inlineStr">
        <is>
          <t>300h Ultra Luxury</t>
        </is>
      </c>
      <c r="E205" s="17" t="inlineStr">
        <is>
          <t>Mid-Size Luxury Sedan</t>
        </is>
      </c>
      <c r="F205" s="17" t="inlineStr">
        <is>
          <t>Gas-Electric Hybrid</t>
        </is>
      </c>
      <c r="G205" s="18" t="n">
        <v>54000</v>
      </c>
      <c r="H205" s="19" t="n">
        <v>215</v>
      </c>
      <c r="I205" s="19" t="n">
        <v>163</v>
      </c>
      <c r="J205" s="17" t="inlineStr">
        <is>
          <t>2.5L I4 + Motor</t>
        </is>
      </c>
      <c r="K205" s="20" t="n">
        <v>2.5</v>
      </c>
      <c r="L205" s="16" t="n">
        <v>4</v>
      </c>
      <c r="M205" s="17" t="inlineStr">
        <is>
          <t>eCVT</t>
        </is>
      </c>
      <c r="N205" s="16" t="inlineStr">
        <is>
          <t>FWD</t>
        </is>
      </c>
      <c r="O205" s="16" t="inlineStr">
        <is>
          <t>44 (43/44)</t>
        </is>
      </c>
      <c r="P205" s="16" t="inlineStr">
        <is>
          <t>N/A</t>
        </is>
      </c>
      <c r="Q205" s="22" t="n">
        <v>1.6</v>
      </c>
      <c r="R205" s="16" t="n">
        <v>5</v>
      </c>
      <c r="S205" s="22" t="n">
        <v>13.9</v>
      </c>
      <c r="T205" s="16" t="inlineStr">
        <is>
          <t>N/A</t>
        </is>
      </c>
      <c r="U205" s="28" t="inlineStr">
        <is>
          <t>8.5/10</t>
        </is>
      </c>
      <c r="V205" s="24" t="inlineStr">
        <is>
          <t xml:space="preserve"> • Superb real-world fuel economy
 • Smooth electric-gas power handover
 • No range anxiety on long trips</t>
        </is>
      </c>
      <c r="W205" s="25" t="inlineStr">
        <is>
          <t xml:space="preserve"> • Added curb weight from battery packs
 • Slightly compromised cargo space
 • eCVT engine flare during passing</t>
        </is>
      </c>
      <c r="X205" s="26" t="inlineStr">
        <is>
          <t>A finely engineered gas-electric hybrid mid-size luxury sedan striking the optimal balance between high efficiency and long-distance practicality.</t>
        </is>
      </c>
      <c r="Y205" s="27" t="inlineStr">
        <is>
          <t>https://hips.hearstapps.com/hmg-prod/images/2026-lexus-es.jpg</t>
        </is>
      </c>
      <c r="Z205" s="27" t="inlineStr">
        <is>
          <t>https://www.caranddriver.com/lexus/es</t>
        </is>
      </c>
      <c r="AA205" s="17" t="inlineStr">
        <is>
          <t>Car and Driver Buyer's Guide</t>
        </is>
      </c>
    </row>
    <row r="206" ht="48" customHeight="1">
      <c r="A206" s="4" t="n">
        <v>2026</v>
      </c>
      <c r="B206" s="5" t="inlineStr">
        <is>
          <t>Lexus</t>
        </is>
      </c>
      <c r="C206" s="5" t="inlineStr">
        <is>
          <t>LS</t>
        </is>
      </c>
      <c r="D206" s="5" t="inlineStr">
        <is>
          <t>500 F SPORT AWD</t>
        </is>
      </c>
      <c r="E206" s="5" t="inlineStr">
        <is>
          <t>Full-Size Luxury Flagship</t>
        </is>
      </c>
      <c r="F206" s="5" t="inlineStr">
        <is>
          <t>Gasoline</t>
        </is>
      </c>
      <c r="G206" s="6" t="n">
        <v>85000</v>
      </c>
      <c r="H206" s="7" t="n">
        <v>416</v>
      </c>
      <c r="I206" s="7" t="n">
        <v>442</v>
      </c>
      <c r="J206" s="5" t="inlineStr">
        <is>
          <t>3.4L Twin-Turbo V6</t>
        </is>
      </c>
      <c r="K206" s="8" t="n">
        <v>3.4</v>
      </c>
      <c r="L206" s="4" t="n">
        <v>6</v>
      </c>
      <c r="M206" s="5" t="inlineStr">
        <is>
          <t>10-Speed Auto</t>
        </is>
      </c>
      <c r="N206" s="4" t="inlineStr">
        <is>
          <t>AWD</t>
        </is>
      </c>
      <c r="O206" s="4" t="inlineStr">
        <is>
          <t>21 (17/27)</t>
        </is>
      </c>
      <c r="P206" s="4" t="inlineStr">
        <is>
          <t>N/A</t>
        </is>
      </c>
      <c r="Q206" s="9" t="inlineStr">
        <is>
          <t>N/A</t>
        </is>
      </c>
      <c r="R206" s="4" t="n">
        <v>5</v>
      </c>
      <c r="S206" s="10" t="n">
        <v>17</v>
      </c>
      <c r="T206" s="4" t="inlineStr">
        <is>
          <t>N/A</t>
        </is>
      </c>
      <c r="U206" s="11" t="inlineStr">
        <is>
          <t>8.0/10</t>
        </is>
      </c>
      <c r="V206" s="12" t="inlineStr">
        <is>
          <t xml:space="preserve"> • Refined performance and chassis poise
 • Comfortable ergonomic cabin
 • Comprehensive safety suite</t>
        </is>
      </c>
      <c r="W206" s="13" t="inlineStr">
        <is>
          <t xml:space="preserve"> • Firm ride on optional large wheels
 • Option packages add up quickly
 • Infotainment learning curve</t>
        </is>
      </c>
      <c r="X206" s="14" t="inlineStr">
        <is>
          <t>A solid, well-rounded contender in the US full-size luxury flagship class with competitive dynamics.</t>
        </is>
      </c>
      <c r="Y206" s="15" t="inlineStr">
        <is>
          <t>https://hips.hearstapps.com/hmg-prod/images/2026-lexus-ls.jpg</t>
        </is>
      </c>
      <c r="Z206" s="15" t="inlineStr">
        <is>
          <t>https://www.caranddriver.com/lexus/ls</t>
        </is>
      </c>
      <c r="AA206" s="5" t="inlineStr">
        <is>
          <t>Car and Driver Buyer's Guide</t>
        </is>
      </c>
    </row>
    <row r="207" ht="48" customHeight="1">
      <c r="A207" s="16" t="n">
        <v>2026</v>
      </c>
      <c r="B207" s="17" t="inlineStr">
        <is>
          <t>Lexus</t>
        </is>
      </c>
      <c r="C207" s="17" t="inlineStr">
        <is>
          <t>LC</t>
        </is>
      </c>
      <c r="D207" s="17" t="inlineStr">
        <is>
          <t>500 Coupe Base</t>
        </is>
      </c>
      <c r="E207" s="17" t="inlineStr">
        <is>
          <t>Luxury GT Coupe</t>
        </is>
      </c>
      <c r="F207" s="17" t="inlineStr">
        <is>
          <t>Gasoline</t>
        </is>
      </c>
      <c r="G207" s="18" t="n">
        <v>100800</v>
      </c>
      <c r="H207" s="19" t="n">
        <v>471</v>
      </c>
      <c r="I207" s="19" t="n">
        <v>398</v>
      </c>
      <c r="J207" s="17" t="inlineStr">
        <is>
          <t>5.0L NA 2UR-GSE V8</t>
        </is>
      </c>
      <c r="K207" s="20" t="n">
        <v>5</v>
      </c>
      <c r="L207" s="16" t="n">
        <v>8</v>
      </c>
      <c r="M207" s="17" t="inlineStr">
        <is>
          <t>10-Speed Direct-Shift</t>
        </is>
      </c>
      <c r="N207" s="16" t="inlineStr">
        <is>
          <t>RWD</t>
        </is>
      </c>
      <c r="O207" s="16" t="inlineStr">
        <is>
          <t>19 (16/25)</t>
        </is>
      </c>
      <c r="P207" s="16" t="inlineStr">
        <is>
          <t>N/A</t>
        </is>
      </c>
      <c r="Q207" s="21" t="inlineStr">
        <is>
          <t>N/A</t>
        </is>
      </c>
      <c r="R207" s="16" t="n">
        <v>4</v>
      </c>
      <c r="S207" s="22" t="n">
        <v>5.4</v>
      </c>
      <c r="T207" s="16" t="inlineStr">
        <is>
          <t>N/A</t>
        </is>
      </c>
      <c r="U207" s="23" t="inlineStr">
        <is>
          <t>9.5/10</t>
        </is>
      </c>
      <c r="V207" s="24" t="inlineStr">
        <is>
          <t xml:space="preserve"> • Refined performance and chassis poise
 • Comfortable ergonomic cabin
 • Comprehensive safety suite</t>
        </is>
      </c>
      <c r="W207" s="25" t="inlineStr">
        <is>
          <t xml:space="preserve"> • Firm ride on optional large wheels
 • Option packages add up quickly
 • Infotainment learning curve</t>
        </is>
      </c>
      <c r="X207" s="26" t="inlineStr">
        <is>
          <t>A solid, well-rounded contender in the US luxury gt coupe class with competitive dynamics.</t>
        </is>
      </c>
      <c r="Y207" s="27" t="inlineStr">
        <is>
          <t>https://hips.hearstapps.com/hmg-prod/images/2026-lexus-lc.jpg</t>
        </is>
      </c>
      <c r="Z207" s="27" t="inlineStr">
        <is>
          <t>https://www.caranddriver.com/lexus/lc</t>
        </is>
      </c>
      <c r="AA207" s="17" t="inlineStr">
        <is>
          <t>Car and Driver Editors' Choice</t>
        </is>
      </c>
    </row>
    <row r="208" ht="48" customHeight="1">
      <c r="A208" s="4" t="n">
        <v>2026</v>
      </c>
      <c r="B208" s="5" t="inlineStr">
        <is>
          <t>Lexus</t>
        </is>
      </c>
      <c r="C208" s="5" t="inlineStr">
        <is>
          <t>NX</t>
        </is>
      </c>
      <c r="D208" s="5" t="inlineStr">
        <is>
          <t>450h+ F SPORT PHEV</t>
        </is>
      </c>
      <c r="E208" s="5" t="inlineStr">
        <is>
          <t>Compact Luxury Crossover</t>
        </is>
      </c>
      <c r="F208" s="5" t="inlineStr">
        <is>
          <t>PHEV</t>
        </is>
      </c>
      <c r="G208" s="6" t="n">
        <v>63000</v>
      </c>
      <c r="H208" s="7" t="n">
        <v>304</v>
      </c>
      <c r="I208" s="7" t="n">
        <v>288</v>
      </c>
      <c r="J208" s="5" t="inlineStr">
        <is>
          <t>2.5L I4 + Dual Motors</t>
        </is>
      </c>
      <c r="K208" s="8" t="n">
        <v>2.5</v>
      </c>
      <c r="L208" s="4" t="n">
        <v>4</v>
      </c>
      <c r="M208" s="5" t="inlineStr">
        <is>
          <t>eCVT</t>
        </is>
      </c>
      <c r="N208" s="4" t="inlineStr">
        <is>
          <t>AWD</t>
        </is>
      </c>
      <c r="O208" s="4" t="inlineStr">
        <is>
          <t>84 MPGe / 36 Comb</t>
        </is>
      </c>
      <c r="P208" s="4" t="inlineStr">
        <is>
          <t>37</t>
        </is>
      </c>
      <c r="Q208" s="10" t="n">
        <v>18.1</v>
      </c>
      <c r="R208" s="4" t="n">
        <v>5</v>
      </c>
      <c r="S208" s="10" t="n">
        <v>22.7</v>
      </c>
      <c r="T208" s="7" t="n">
        <v>2000</v>
      </c>
      <c r="U208" s="11" t="inlineStr">
        <is>
          <t>8.5/10</t>
        </is>
      </c>
      <c r="V208" s="12" t="inlineStr">
        <is>
          <t xml:space="preserve"> • Superb real-world fuel economy
 • Smooth electric-gas power handover
 • No range anxiety on long trips</t>
        </is>
      </c>
      <c r="W208" s="13" t="inlineStr">
        <is>
          <t xml:space="preserve"> • Added curb weight from battery packs
 • Slightly compromised cargo space
 • eCVT engine flare during passing</t>
        </is>
      </c>
      <c r="X208" s="14" t="inlineStr">
        <is>
          <t>A finely engineered phev compact luxury crossover striking the optimal balance between high efficiency and long-distance practicality.</t>
        </is>
      </c>
      <c r="Y208" s="15" t="inlineStr">
        <is>
          <t>https://hips.hearstapps.com/hmg-prod/images/2026-lexus-nx.jpg</t>
        </is>
      </c>
      <c r="Z208" s="15" t="inlineStr">
        <is>
          <t>https://www.caranddriver.com/lexus/nx</t>
        </is>
      </c>
      <c r="AA208" s="5" t="inlineStr">
        <is>
          <t>Car and Driver Buyer's Guide</t>
        </is>
      </c>
    </row>
    <row r="209" ht="48" customHeight="1">
      <c r="A209" s="16" t="n">
        <v>2026</v>
      </c>
      <c r="B209" s="17" t="inlineStr">
        <is>
          <t>Lexus</t>
        </is>
      </c>
      <c r="C209" s="17" t="inlineStr">
        <is>
          <t>RZ</t>
        </is>
      </c>
      <c r="D209" s="17" t="inlineStr">
        <is>
          <t>450e Luxury AWD</t>
        </is>
      </c>
      <c r="E209" s="17" t="inlineStr">
        <is>
          <t>Compact Luxury EV SUV</t>
        </is>
      </c>
      <c r="F209" s="17" t="inlineStr">
        <is>
          <t>Electric</t>
        </is>
      </c>
      <c r="G209" s="18" t="n">
        <v>61000</v>
      </c>
      <c r="H209" s="19" t="n">
        <v>308</v>
      </c>
      <c r="I209" s="19" t="n">
        <v>320</v>
      </c>
      <c r="J209" s="17" t="inlineStr">
        <is>
          <t>Dual Electric Motors</t>
        </is>
      </c>
      <c r="K209" s="16" t="inlineStr">
        <is>
          <t>N/A</t>
        </is>
      </c>
      <c r="L209" s="16" t="n">
        <v>0</v>
      </c>
      <c r="M209" s="17" t="inlineStr">
        <is>
          <t>1-Speed Direct</t>
        </is>
      </c>
      <c r="N209" s="16" t="inlineStr">
        <is>
          <t>DIRECT4 AWD</t>
        </is>
      </c>
      <c r="O209" s="16" t="inlineStr">
        <is>
          <t>95 MPGe</t>
        </is>
      </c>
      <c r="P209" s="16" t="inlineStr">
        <is>
          <t>220</t>
        </is>
      </c>
      <c r="Q209" s="22" t="n">
        <v>71.40000000000001</v>
      </c>
      <c r="R209" s="16" t="n">
        <v>5</v>
      </c>
      <c r="S209" s="22" t="n">
        <v>23.7</v>
      </c>
      <c r="T209" s="16" t="inlineStr">
        <is>
          <t>N/A</t>
        </is>
      </c>
      <c r="U209" s="28" t="inlineStr">
        <is>
          <t>7.5/10</t>
        </is>
      </c>
      <c r="V209" s="24" t="inlineStr">
        <is>
          <t xml:space="preserve"> • Silent, instantaneous acceleration
 • Low center of gravity enhances stability
 • Zero tailpipe emissions</t>
        </is>
      </c>
      <c r="W209" s="25" t="inlineStr">
        <is>
          <t xml:space="preserve"> • Highway range drops at sustained speed
 • Public charging network variability
 • Pricier initial purchase cost</t>
        </is>
      </c>
      <c r="X209" s="26" t="inlineStr">
        <is>
          <t>A compelling electric entry in the compact luxury ev suv segment offering smooth power delivery and advanced tech.</t>
        </is>
      </c>
      <c r="Y209" s="27" t="inlineStr">
        <is>
          <t>https://hips.hearstapps.com/hmg-prod/images/2026-lexus-rz.jpg</t>
        </is>
      </c>
      <c r="Z209" s="27" t="inlineStr">
        <is>
          <t>https://www.caranddriver.com/lexus/rz</t>
        </is>
      </c>
      <c r="AA209" s="17" t="inlineStr">
        <is>
          <t>Car and Driver Buyer's Guide</t>
        </is>
      </c>
    </row>
    <row r="210" ht="48" customHeight="1">
      <c r="A210" s="4" t="n">
        <v>2026</v>
      </c>
      <c r="B210" s="5" t="inlineStr">
        <is>
          <t>Lexus</t>
        </is>
      </c>
      <c r="C210" s="5" t="inlineStr">
        <is>
          <t>RX</t>
        </is>
      </c>
      <c r="D210" s="5" t="inlineStr">
        <is>
          <t>500h F SPORT Performance</t>
        </is>
      </c>
      <c r="E210" s="5" t="inlineStr">
        <is>
          <t>Luxury Mid-Size Crossover</t>
        </is>
      </c>
      <c r="F210" s="5" t="inlineStr">
        <is>
          <t>Gas-Electric Hybrid</t>
        </is>
      </c>
      <c r="G210" s="6" t="n">
        <v>64150</v>
      </c>
      <c r="H210" s="7" t="n">
        <v>366</v>
      </c>
      <c r="I210" s="7" t="n">
        <v>406</v>
      </c>
      <c r="J210" s="5" t="inlineStr">
        <is>
          <t>2.4L Turbo I4 Hybrid</t>
        </is>
      </c>
      <c r="K210" s="8" t="n">
        <v>2.4</v>
      </c>
      <c r="L210" s="4" t="n">
        <v>4</v>
      </c>
      <c r="M210" s="5" t="inlineStr">
        <is>
          <t>6-Speed Auto</t>
        </is>
      </c>
      <c r="N210" s="4" t="inlineStr">
        <is>
          <t>DIRECT4 AWD</t>
        </is>
      </c>
      <c r="O210" s="4" t="inlineStr">
        <is>
          <t>27 (27/28)</t>
        </is>
      </c>
      <c r="P210" s="4" t="inlineStr">
        <is>
          <t>N/A</t>
        </is>
      </c>
      <c r="Q210" s="10" t="n">
        <v>1.8</v>
      </c>
      <c r="R210" s="4" t="n">
        <v>5</v>
      </c>
      <c r="S210" s="10" t="n">
        <v>29.6</v>
      </c>
      <c r="T210" s="7" t="n">
        <v>3500</v>
      </c>
      <c r="U210" s="11" t="inlineStr">
        <is>
          <t>8.5/10</t>
        </is>
      </c>
      <c r="V210" s="12" t="inlineStr">
        <is>
          <t xml:space="preserve"> • Superb real-world fuel economy
 • Smooth electric-gas power handover
 • No range anxiety on long trips</t>
        </is>
      </c>
      <c r="W210" s="13" t="inlineStr">
        <is>
          <t xml:space="preserve"> • Added curb weight from battery packs
 • Slightly compromised cargo space
 • eCVT engine flare during passing</t>
        </is>
      </c>
      <c r="X210" s="14" t="inlineStr">
        <is>
          <t>A finely engineered gas-electric hybrid luxury mid-size crossover striking the optimal balance between high efficiency and long-distance practicality.</t>
        </is>
      </c>
      <c r="Y210" s="15" t="inlineStr">
        <is>
          <t>https://hips.hearstapps.com/hmg-prod/images/2026-lexus-rx.jpg</t>
        </is>
      </c>
      <c r="Z210" s="15" t="inlineStr">
        <is>
          <t>https://www.caranddriver.com/lexus/rx</t>
        </is>
      </c>
      <c r="AA210" s="5" t="inlineStr">
        <is>
          <t>Car and Driver Buyer's Guide</t>
        </is>
      </c>
    </row>
    <row r="211" ht="48" customHeight="1">
      <c r="A211" s="16" t="n">
        <v>2026</v>
      </c>
      <c r="B211" s="17" t="inlineStr">
        <is>
          <t>Lexus</t>
        </is>
      </c>
      <c r="C211" s="17" t="inlineStr">
        <is>
          <t>TX</t>
        </is>
      </c>
      <c r="D211" s="17" t="inlineStr">
        <is>
          <t>500h F SPORT Performance</t>
        </is>
      </c>
      <c r="E211" s="17" t="inlineStr">
        <is>
          <t>3-Row Mid-Size SUV</t>
        </is>
      </c>
      <c r="F211" s="17" t="inlineStr">
        <is>
          <t>Gas-Electric Hybrid</t>
        </is>
      </c>
      <c r="G211" s="18" t="n">
        <v>72650</v>
      </c>
      <c r="H211" s="19" t="n">
        <v>366</v>
      </c>
      <c r="I211" s="19" t="n">
        <v>406</v>
      </c>
      <c r="J211" s="17" t="inlineStr">
        <is>
          <t>2.4L Turbo I4 Hybrid</t>
        </is>
      </c>
      <c r="K211" s="20" t="n">
        <v>2.4</v>
      </c>
      <c r="L211" s="16" t="n">
        <v>4</v>
      </c>
      <c r="M211" s="17" t="inlineStr">
        <is>
          <t>6-Speed Auto</t>
        </is>
      </c>
      <c r="N211" s="16" t="inlineStr">
        <is>
          <t>DIRECT4 AWD</t>
        </is>
      </c>
      <c r="O211" s="16" t="inlineStr">
        <is>
          <t>27 (27/28)</t>
        </is>
      </c>
      <c r="P211" s="16" t="inlineStr">
        <is>
          <t>N/A</t>
        </is>
      </c>
      <c r="Q211" s="22" t="n">
        <v>1.8</v>
      </c>
      <c r="R211" s="16" t="n">
        <v>6</v>
      </c>
      <c r="S211" s="22" t="n">
        <v>20.2</v>
      </c>
      <c r="T211" s="19" t="n">
        <v>5000</v>
      </c>
      <c r="U211" s="28" t="inlineStr">
        <is>
          <t>8.5/10</t>
        </is>
      </c>
      <c r="V211" s="24" t="inlineStr">
        <is>
          <t xml:space="preserve"> • Superb real-world fuel economy
 • Smooth electric-gas power handover
 • No range anxiety on long trips</t>
        </is>
      </c>
      <c r="W211" s="25" t="inlineStr">
        <is>
          <t xml:space="preserve"> • Added curb weight from battery packs
 • Slightly compromised cargo space
 • eCVT engine flare during passing</t>
        </is>
      </c>
      <c r="X211" s="26" t="inlineStr">
        <is>
          <t>A finely engineered gas-electric hybrid 3-row mid-size suv striking the optimal balance between high efficiency and long-distance practicality.</t>
        </is>
      </c>
      <c r="Y211" s="27" t="inlineStr">
        <is>
          <t>https://hips.hearstapps.com/hmg-prod/images/2026-lexus-tx.jpg</t>
        </is>
      </c>
      <c r="Z211" s="27" t="inlineStr">
        <is>
          <t>https://www.caranddriver.com/lexus/tx</t>
        </is>
      </c>
      <c r="AA211" s="17" t="inlineStr">
        <is>
          <t>Car and Driver Buyer's Guide</t>
        </is>
      </c>
    </row>
    <row r="212" ht="48" customHeight="1">
      <c r="A212" s="4" t="n">
        <v>2026</v>
      </c>
      <c r="B212" s="5" t="inlineStr">
        <is>
          <t>Lexus</t>
        </is>
      </c>
      <c r="C212" s="5" t="inlineStr">
        <is>
          <t>TX</t>
        </is>
      </c>
      <c r="D212" s="5" t="inlineStr">
        <is>
          <t>550h+ Luxury PHEV</t>
        </is>
      </c>
      <c r="E212" s="5" t="inlineStr">
        <is>
          <t>3-Row Plug-In Hybrid SUV</t>
        </is>
      </c>
      <c r="F212" s="5" t="inlineStr">
        <is>
          <t>PHEV</t>
        </is>
      </c>
      <c r="G212" s="6" t="n">
        <v>78000</v>
      </c>
      <c r="H212" s="7" t="n">
        <v>404</v>
      </c>
      <c r="I212" s="7" t="n">
        <v>420</v>
      </c>
      <c r="J212" s="5" t="inlineStr">
        <is>
          <t>3.5L V6 + Motors</t>
        </is>
      </c>
      <c r="K212" s="8" t="n">
        <v>3.5</v>
      </c>
      <c r="L212" s="4" t="n">
        <v>6</v>
      </c>
      <c r="M212" s="5" t="inlineStr">
        <is>
          <t>CVT</t>
        </is>
      </c>
      <c r="N212" s="4" t="inlineStr">
        <is>
          <t>AWD</t>
        </is>
      </c>
      <c r="O212" s="4" t="inlineStr">
        <is>
          <t>76 MPGe / 29 Comb</t>
        </is>
      </c>
      <c r="P212" s="4" t="inlineStr">
        <is>
          <t>33</t>
        </is>
      </c>
      <c r="Q212" s="10" t="n">
        <v>18.1</v>
      </c>
      <c r="R212" s="4" t="n">
        <v>6</v>
      </c>
      <c r="S212" s="10" t="n">
        <v>20.2</v>
      </c>
      <c r="T212" s="7" t="n">
        <v>5000</v>
      </c>
      <c r="U212" s="11" t="inlineStr">
        <is>
          <t>8.5/10</t>
        </is>
      </c>
      <c r="V212" s="12" t="inlineStr">
        <is>
          <t xml:space="preserve"> • Superb real-world fuel economy
 • Smooth electric-gas power handover
 • No range anxiety on long trips</t>
        </is>
      </c>
      <c r="W212" s="13" t="inlineStr">
        <is>
          <t xml:space="preserve"> • Added curb weight from battery packs
 • Slightly compromised cargo space
 • eCVT engine flare during passing</t>
        </is>
      </c>
      <c r="X212" s="14" t="inlineStr">
        <is>
          <t>A finely engineered phev 3-row plug-in hybrid suv striking the optimal balance between high efficiency and long-distance practicality.</t>
        </is>
      </c>
      <c r="Y212" s="15" t="inlineStr">
        <is>
          <t>https://hips.hearstapps.com/hmg-prod/images/2026-lexus-tx.jpg</t>
        </is>
      </c>
      <c r="Z212" s="15" t="inlineStr">
        <is>
          <t>https://www.caranddriver.com/lexus/tx</t>
        </is>
      </c>
      <c r="AA212" s="5" t="inlineStr">
        <is>
          <t>Car and Driver Buyer's Guide</t>
        </is>
      </c>
    </row>
    <row r="213" ht="48" customHeight="1">
      <c r="A213" s="16" t="n">
        <v>2026</v>
      </c>
      <c r="B213" s="17" t="inlineStr">
        <is>
          <t>Lexus</t>
        </is>
      </c>
      <c r="C213" s="17" t="inlineStr">
        <is>
          <t>GX</t>
        </is>
      </c>
      <c r="D213" s="17" t="inlineStr">
        <is>
          <t>550 Overtrail+</t>
        </is>
      </c>
      <c r="E213" s="17" t="inlineStr">
        <is>
          <t>Mid-Size Rugged Luxury SUV</t>
        </is>
      </c>
      <c r="F213" s="17" t="inlineStr">
        <is>
          <t>Gasoline</t>
        </is>
      </c>
      <c r="G213" s="18" t="n">
        <v>78600</v>
      </c>
      <c r="H213" s="19" t="n">
        <v>349</v>
      </c>
      <c r="I213" s="19" t="n">
        <v>479</v>
      </c>
      <c r="J213" s="17" t="inlineStr">
        <is>
          <t>3.4L Twin-Turbo V6</t>
        </is>
      </c>
      <c r="K213" s="20" t="n">
        <v>3.4</v>
      </c>
      <c r="L213" s="16" t="n">
        <v>6</v>
      </c>
      <c r="M213" s="17" t="inlineStr">
        <is>
          <t>10-Speed Direct-Shift</t>
        </is>
      </c>
      <c r="N213" s="16" t="inlineStr">
        <is>
          <t>Full-Time 4WD</t>
        </is>
      </c>
      <c r="O213" s="16" t="inlineStr">
        <is>
          <t>17 (15/21)</t>
        </is>
      </c>
      <c r="P213" s="16" t="inlineStr">
        <is>
          <t>N/A</t>
        </is>
      </c>
      <c r="Q213" s="21" t="inlineStr">
        <is>
          <t>N/A</t>
        </is>
      </c>
      <c r="R213" s="16" t="n">
        <v>5</v>
      </c>
      <c r="S213" s="22" t="n">
        <v>40</v>
      </c>
      <c r="T213" s="19" t="n">
        <v>9096</v>
      </c>
      <c r="U213" s="28" t="inlineStr">
        <is>
          <t>9.0/10</t>
        </is>
      </c>
      <c r="V213" s="24" t="inlineStr">
        <is>
          <t xml:space="preserve"> • Spacious passenger and cargo room
 • Commanding elevated driving position
 • Confidence-inspiring all-weather grip</t>
        </is>
      </c>
      <c r="W213" s="25" t="inlineStr">
        <is>
          <t xml:space="preserve"> • Higher center of gravity than sedans
 • Fuel consumption under heavy load
 • Less engaging steering feel</t>
        </is>
      </c>
      <c r="X213" s="26" t="inlineStr">
        <is>
          <t>A highly versatile mid-size rugged luxury suv that delivers generous space, modern safety tech, and daily utility.</t>
        </is>
      </c>
      <c r="Y213" s="27" t="inlineStr">
        <is>
          <t>https://hips.hearstapps.com/hmg-prod/images/2026-lexus-gx.jpg</t>
        </is>
      </c>
      <c r="Z213" s="27" t="inlineStr">
        <is>
          <t>https://www.caranddriver.com/lexus/gx</t>
        </is>
      </c>
      <c r="AA213" s="17" t="inlineStr">
        <is>
          <t>Car and Driver Buyer's Guide</t>
        </is>
      </c>
    </row>
    <row r="214" ht="48" customHeight="1">
      <c r="A214" s="4" t="n">
        <v>2026</v>
      </c>
      <c r="B214" s="5" t="inlineStr">
        <is>
          <t>Lexus</t>
        </is>
      </c>
      <c r="C214" s="5" t="inlineStr">
        <is>
          <t>LX</t>
        </is>
      </c>
      <c r="D214" s="5" t="inlineStr">
        <is>
          <t>700h Overtrail Hybrid</t>
        </is>
      </c>
      <c r="E214" s="5" t="inlineStr">
        <is>
          <t>Full-Size Flagship 4x4</t>
        </is>
      </c>
      <c r="F214" s="5" t="inlineStr">
        <is>
          <t>Gas-Electric Hybrid</t>
        </is>
      </c>
      <c r="G214" s="6" t="n">
        <v>132000</v>
      </c>
      <c r="H214" s="7" t="n">
        <v>457</v>
      </c>
      <c r="I214" s="7" t="n">
        <v>583</v>
      </c>
      <c r="J214" s="5" t="inlineStr">
        <is>
          <t>3.4L Twin-Turbo V6 Hybrid</t>
        </is>
      </c>
      <c r="K214" s="8" t="n">
        <v>3.4</v>
      </c>
      <c r="L214" s="4" t="n">
        <v>6</v>
      </c>
      <c r="M214" s="5" t="inlineStr">
        <is>
          <t>10-Speed Auto</t>
        </is>
      </c>
      <c r="N214" s="4" t="inlineStr">
        <is>
          <t>Full-Time 4WD</t>
        </is>
      </c>
      <c r="O214" s="4" t="inlineStr">
        <is>
          <t>20 (19/21 Est)</t>
        </is>
      </c>
      <c r="P214" s="4" t="inlineStr">
        <is>
          <t>N/A</t>
        </is>
      </c>
      <c r="Q214" s="10" t="n">
        <v>1.87</v>
      </c>
      <c r="R214" s="4" t="n">
        <v>5</v>
      </c>
      <c r="S214" s="10" t="n">
        <v>41</v>
      </c>
      <c r="T214" s="7" t="n">
        <v>8000</v>
      </c>
      <c r="U214" s="11" t="inlineStr">
        <is>
          <t>8.5/10</t>
        </is>
      </c>
      <c r="V214" s="12" t="inlineStr">
        <is>
          <t xml:space="preserve"> • Superb real-world fuel economy
 • Smooth electric-gas power handover
 • No range anxiety on long trips</t>
        </is>
      </c>
      <c r="W214" s="13" t="inlineStr">
        <is>
          <t xml:space="preserve"> • Added curb weight from battery packs
 • Slightly compromised cargo space
 • eCVT engine flare during passing</t>
        </is>
      </c>
      <c r="X214" s="14" t="inlineStr">
        <is>
          <t>A finely engineered gas-electric hybrid full-size flagship 4x4 striking the optimal balance between high efficiency and long-distance practicality.</t>
        </is>
      </c>
      <c r="Y214" s="15" t="inlineStr">
        <is>
          <t>https://hips.hearstapps.com/hmg-prod/images/2026-lexus-lx.jpg</t>
        </is>
      </c>
      <c r="Z214" s="15" t="inlineStr">
        <is>
          <t>https://www.caranddriver.com/lexus/lx</t>
        </is>
      </c>
      <c r="AA214" s="5" t="inlineStr">
        <is>
          <t>Car and Driver First Look</t>
        </is>
      </c>
    </row>
    <row r="215" ht="48" customHeight="1">
      <c r="A215" s="16" t="n">
        <v>2026</v>
      </c>
      <c r="B215" s="17" t="inlineStr">
        <is>
          <t>Lexus</t>
        </is>
      </c>
      <c r="C215" s="17" t="inlineStr">
        <is>
          <t>UX</t>
        </is>
      </c>
      <c r="D215" s="17" t="inlineStr">
        <is>
          <t>300h Premium AWD</t>
        </is>
      </c>
      <c r="E215" s="17" t="inlineStr">
        <is>
          <t>Subcompact Luxury Crossover</t>
        </is>
      </c>
      <c r="F215" s="17" t="inlineStr">
        <is>
          <t>Gas-Electric Hybrid</t>
        </is>
      </c>
      <c r="G215" s="18" t="n">
        <v>39000</v>
      </c>
      <c r="H215" s="19" t="n">
        <v>196</v>
      </c>
      <c r="I215" s="19" t="n">
        <v>150</v>
      </c>
      <c r="J215" s="17" t="inlineStr">
        <is>
          <t>2.0L I4 + Motor</t>
        </is>
      </c>
      <c r="K215" s="20" t="n">
        <v>2</v>
      </c>
      <c r="L215" s="16" t="n">
        <v>4</v>
      </c>
      <c r="M215" s="17" t="inlineStr">
        <is>
          <t>eCVT</t>
        </is>
      </c>
      <c r="N215" s="16" t="inlineStr">
        <is>
          <t>AWD</t>
        </is>
      </c>
      <c r="O215" s="16" t="inlineStr">
        <is>
          <t>43 (44/41)</t>
        </is>
      </c>
      <c r="P215" s="16" t="inlineStr">
        <is>
          <t>N/A</t>
        </is>
      </c>
      <c r="Q215" s="22" t="n">
        <v>1.2</v>
      </c>
      <c r="R215" s="16" t="n">
        <v>5</v>
      </c>
      <c r="S215" s="22" t="n">
        <v>17.1</v>
      </c>
      <c r="T215" s="16" t="inlineStr">
        <is>
          <t>N/A</t>
        </is>
      </c>
      <c r="U215" s="28" t="inlineStr">
        <is>
          <t>8.0/10</t>
        </is>
      </c>
      <c r="V215" s="24" t="inlineStr">
        <is>
          <t xml:space="preserve"> • Superb real-world fuel economy
 • Smooth electric-gas power handover
 • No range anxiety on long trips</t>
        </is>
      </c>
      <c r="W215" s="25" t="inlineStr">
        <is>
          <t xml:space="preserve"> • Added curb weight from battery packs
 • Slightly compromised cargo space
 • eCVT engine flare during passing</t>
        </is>
      </c>
      <c r="X215" s="26" t="inlineStr">
        <is>
          <t>A finely engineered gas-electric hybrid subcompact luxury crossover striking the optimal balance between high efficiency and long-distance practicality.</t>
        </is>
      </c>
      <c r="Y215" s="27" t="inlineStr">
        <is>
          <t>https://hips.hearstapps.com/hmg-prod/images/2026-lexus-ux.jpg</t>
        </is>
      </c>
      <c r="Z215" s="27" t="inlineStr">
        <is>
          <t>https://www.caranddriver.com/lexus/ux</t>
        </is>
      </c>
      <c r="AA215" s="17" t="inlineStr">
        <is>
          <t>Car and Driver Buyer's Guide</t>
        </is>
      </c>
    </row>
    <row r="216" ht="48" customHeight="1">
      <c r="A216" s="4" t="n">
        <v>2026</v>
      </c>
      <c r="B216" s="5" t="inlineStr">
        <is>
          <t>Lexus</t>
        </is>
      </c>
      <c r="C216" s="5" t="inlineStr">
        <is>
          <t>RC</t>
        </is>
      </c>
      <c r="D216" s="5" t="inlineStr">
        <is>
          <t>RC F Track Edition</t>
        </is>
      </c>
      <c r="E216" s="5" t="inlineStr">
        <is>
          <t>Performance Coupe</t>
        </is>
      </c>
      <c r="F216" s="5" t="inlineStr">
        <is>
          <t>Gasoline</t>
        </is>
      </c>
      <c r="G216" s="6" t="n">
        <v>80000</v>
      </c>
      <c r="H216" s="7" t="n">
        <v>472</v>
      </c>
      <c r="I216" s="7" t="n">
        <v>395</v>
      </c>
      <c r="J216" s="5" t="inlineStr">
        <is>
          <t>5.0L NA V8</t>
        </is>
      </c>
      <c r="K216" s="8" t="n">
        <v>5</v>
      </c>
      <c r="L216" s="4" t="n">
        <v>8</v>
      </c>
      <c r="M216" s="5" t="inlineStr">
        <is>
          <t>8-Speed Auto</t>
        </is>
      </c>
      <c r="N216" s="4" t="inlineStr">
        <is>
          <t>RWD</t>
        </is>
      </c>
      <c r="O216" s="4" t="inlineStr">
        <is>
          <t>19 (16/24)</t>
        </is>
      </c>
      <c r="P216" s="4" t="inlineStr">
        <is>
          <t>N/A</t>
        </is>
      </c>
      <c r="Q216" s="9" t="inlineStr">
        <is>
          <t>N/A</t>
        </is>
      </c>
      <c r="R216" s="4" t="n">
        <v>4</v>
      </c>
      <c r="S216" s="10" t="n">
        <v>10.4</v>
      </c>
      <c r="T216" s="4" t="inlineStr">
        <is>
          <t>N/A</t>
        </is>
      </c>
      <c r="U216" s="11" t="inlineStr">
        <is>
          <t>8.0/10</t>
        </is>
      </c>
      <c r="V216" s="12" t="inlineStr">
        <is>
          <t xml:space="preserve"> • Refined performance and chassis poise
 • Comfortable ergonomic cabin
 • Comprehensive safety suite</t>
        </is>
      </c>
      <c r="W216" s="13" t="inlineStr">
        <is>
          <t xml:space="preserve"> • Firm ride on optional large wheels
 • Option packages add up quickly
 • Infotainment learning curve</t>
        </is>
      </c>
      <c r="X216" s="14" t="inlineStr">
        <is>
          <t>A solid, well-rounded contender in the US performance coupe class with competitive dynamics.</t>
        </is>
      </c>
      <c r="Y216" s="15" t="inlineStr">
        <is>
          <t>https://hips.hearstapps.com/hmg-prod/images/2026-lexus-rc.jpg</t>
        </is>
      </c>
      <c r="Z216" s="15" t="inlineStr">
        <is>
          <t>https://www.caranddriver.com/lexus/rc-f</t>
        </is>
      </c>
      <c r="AA216" s="5" t="inlineStr">
        <is>
          <t>Car and Driver Buyer's Guide</t>
        </is>
      </c>
    </row>
    <row r="217" ht="48" customHeight="1">
      <c r="A217" s="16" t="n">
        <v>2026</v>
      </c>
      <c r="B217" s="17" t="inlineStr">
        <is>
          <t>Lincoln</t>
        </is>
      </c>
      <c r="C217" s="17" t="inlineStr">
        <is>
          <t>Corsair</t>
        </is>
      </c>
      <c r="D217" s="17" t="inlineStr">
        <is>
          <t>Grand Touring PHEV</t>
        </is>
      </c>
      <c r="E217" s="17" t="inlineStr">
        <is>
          <t>Compact Luxury Crossover</t>
        </is>
      </c>
      <c r="F217" s="17" t="inlineStr">
        <is>
          <t>PHEV</t>
        </is>
      </c>
      <c r="G217" s="18" t="n">
        <v>55000</v>
      </c>
      <c r="H217" s="19" t="n">
        <v>266</v>
      </c>
      <c r="I217" s="19" t="n">
        <v>275</v>
      </c>
      <c r="J217" s="17" t="inlineStr">
        <is>
          <t>2.5L I4 + Motor</t>
        </is>
      </c>
      <c r="K217" s="20" t="n">
        <v>2.5</v>
      </c>
      <c r="L217" s="16" t="n">
        <v>4</v>
      </c>
      <c r="M217" s="17" t="inlineStr">
        <is>
          <t>eCVT</t>
        </is>
      </c>
      <c r="N217" s="16" t="inlineStr">
        <is>
          <t>AWD</t>
        </is>
      </c>
      <c r="O217" s="16" t="inlineStr">
        <is>
          <t>78 MPGe / 33 Comb</t>
        </is>
      </c>
      <c r="P217" s="16" t="inlineStr">
        <is>
          <t>28</t>
        </is>
      </c>
      <c r="Q217" s="22" t="n">
        <v>14.4</v>
      </c>
      <c r="R217" s="16" t="n">
        <v>5</v>
      </c>
      <c r="S217" s="22" t="n">
        <v>27.6</v>
      </c>
      <c r="T217" s="19" t="n">
        <v>2000</v>
      </c>
      <c r="U217" s="28" t="inlineStr">
        <is>
          <t>8.0/10</t>
        </is>
      </c>
      <c r="V217" s="24" t="inlineStr">
        <is>
          <t xml:space="preserve"> • Superb real-world fuel economy
 • Smooth electric-gas power handover
 • No range anxiety on long trips</t>
        </is>
      </c>
      <c r="W217" s="25" t="inlineStr">
        <is>
          <t xml:space="preserve"> • Added curb weight from battery packs
 • Slightly compromised cargo space
 • eCVT engine flare during passing</t>
        </is>
      </c>
      <c r="X217" s="26" t="inlineStr">
        <is>
          <t>A finely engineered phev compact luxury crossover striking the optimal balance between high efficiency and long-distance practicality.</t>
        </is>
      </c>
      <c r="Y217" s="27" t="inlineStr">
        <is>
          <t>https://hips.hearstapps.com/hmg-prod/images/2026-lincoln-corsair.jpg</t>
        </is>
      </c>
      <c r="Z217" s="27" t="inlineStr">
        <is>
          <t>https://www.caranddriver.com/lincoln/corsair</t>
        </is>
      </c>
      <c r="AA217" s="17" t="inlineStr">
        <is>
          <t>Car and Driver Buyer's Guide</t>
        </is>
      </c>
    </row>
    <row r="218" ht="48" customHeight="1">
      <c r="A218" s="4" t="n">
        <v>2026</v>
      </c>
      <c r="B218" s="5" t="inlineStr">
        <is>
          <t>Lincoln</t>
        </is>
      </c>
      <c r="C218" s="5" t="inlineStr">
        <is>
          <t>Nautilus</t>
        </is>
      </c>
      <c r="D218" s="5" t="inlineStr">
        <is>
          <t>Black Label Hybrid AWD</t>
        </is>
      </c>
      <c r="E218" s="5" t="inlineStr">
        <is>
          <t>Mid-Size Luxury Crossover</t>
        </is>
      </c>
      <c r="F218" s="5" t="inlineStr">
        <is>
          <t>Gas-Electric Hybrid</t>
        </is>
      </c>
      <c r="G218" s="6" t="n">
        <v>76000</v>
      </c>
      <c r="H218" s="7" t="n">
        <v>310</v>
      </c>
      <c r="I218" s="7" t="n">
        <v>295</v>
      </c>
      <c r="J218" s="5" t="inlineStr">
        <is>
          <t>2.0L Turbo I4 Hybrid</t>
        </is>
      </c>
      <c r="K218" s="8" t="n">
        <v>2</v>
      </c>
      <c r="L218" s="4" t="n">
        <v>4</v>
      </c>
      <c r="M218" s="5" t="inlineStr">
        <is>
          <t>eCVT</t>
        </is>
      </c>
      <c r="N218" s="4" t="inlineStr">
        <is>
          <t>AWD</t>
        </is>
      </c>
      <c r="O218" s="4" t="inlineStr">
        <is>
          <t>30 (30/31)</t>
        </is>
      </c>
      <c r="P218" s="4" t="inlineStr">
        <is>
          <t>N/A</t>
        </is>
      </c>
      <c r="Q218" s="10" t="n">
        <v>1.1</v>
      </c>
      <c r="R218" s="4" t="n">
        <v>5</v>
      </c>
      <c r="S218" s="10" t="n">
        <v>35.2</v>
      </c>
      <c r="T218" s="7" t="n">
        <v>1750</v>
      </c>
      <c r="U218" s="11" t="inlineStr">
        <is>
          <t>8.5/10</t>
        </is>
      </c>
      <c r="V218" s="12" t="inlineStr">
        <is>
          <t xml:space="preserve"> • Superb real-world fuel economy
 • Smooth electric-gas power handover
 • No range anxiety on long trips</t>
        </is>
      </c>
      <c r="W218" s="13" t="inlineStr">
        <is>
          <t xml:space="preserve"> • Added curb weight from battery packs
 • Slightly compromised cargo space
 • eCVT engine flare during passing</t>
        </is>
      </c>
      <c r="X218" s="14" t="inlineStr">
        <is>
          <t>A finely engineered gas-electric hybrid mid-size luxury crossover striking the optimal balance between high efficiency and long-distance practicality.</t>
        </is>
      </c>
      <c r="Y218" s="15" t="inlineStr">
        <is>
          <t>https://hips.hearstapps.com/hmg-prod/images/2026-lincoln-nautilus.jpg</t>
        </is>
      </c>
      <c r="Z218" s="15" t="inlineStr">
        <is>
          <t>https://www.caranddriver.com/lincoln/nautilus</t>
        </is>
      </c>
      <c r="AA218" s="5" t="inlineStr">
        <is>
          <t>Car and Driver Buyer's Guide</t>
        </is>
      </c>
    </row>
    <row r="219" ht="48" customHeight="1">
      <c r="A219" s="16" t="n">
        <v>2026</v>
      </c>
      <c r="B219" s="17" t="inlineStr">
        <is>
          <t>Lincoln</t>
        </is>
      </c>
      <c r="C219" s="17" t="inlineStr">
        <is>
          <t>Aviator</t>
        </is>
      </c>
      <c r="D219" s="17" t="inlineStr">
        <is>
          <t>Black Label AWD</t>
        </is>
      </c>
      <c r="E219" s="17" t="inlineStr">
        <is>
          <t>3-Row Mid-Size Luxury SUV</t>
        </is>
      </c>
      <c r="F219" s="17" t="inlineStr">
        <is>
          <t>Gasoline</t>
        </is>
      </c>
      <c r="G219" s="18" t="n">
        <v>88000</v>
      </c>
      <c r="H219" s="19" t="n">
        <v>400</v>
      </c>
      <c r="I219" s="19" t="n">
        <v>415</v>
      </c>
      <c r="J219" s="17" t="inlineStr">
        <is>
          <t>3.0L Twin-Turbo V6</t>
        </is>
      </c>
      <c r="K219" s="20" t="n">
        <v>3</v>
      </c>
      <c r="L219" s="16" t="n">
        <v>6</v>
      </c>
      <c r="M219" s="17" t="inlineStr">
        <is>
          <t>10-Speed Auto</t>
        </is>
      </c>
      <c r="N219" s="16" t="inlineStr">
        <is>
          <t>AWD</t>
        </is>
      </c>
      <c r="O219" s="16" t="inlineStr">
        <is>
          <t>20 (17/24)</t>
        </is>
      </c>
      <c r="P219" s="16" t="inlineStr">
        <is>
          <t>N/A</t>
        </is>
      </c>
      <c r="Q219" s="21" t="inlineStr">
        <is>
          <t>N/A</t>
        </is>
      </c>
      <c r="R219" s="16" t="n">
        <v>6</v>
      </c>
      <c r="S219" s="22" t="n">
        <v>18.3</v>
      </c>
      <c r="T219" s="19" t="n">
        <v>6700</v>
      </c>
      <c r="U219" s="28" t="inlineStr">
        <is>
          <t>8.5/10</t>
        </is>
      </c>
      <c r="V219" s="24" t="inlineStr">
        <is>
          <t xml:space="preserve"> • Spacious passenger and cargo room
 • Commanding elevated driving position
 • Confidence-inspiring all-weather grip</t>
        </is>
      </c>
      <c r="W219" s="25" t="inlineStr">
        <is>
          <t xml:space="preserve"> • Higher center of gravity than sedans
 • Fuel consumption under heavy load
 • Less engaging steering feel</t>
        </is>
      </c>
      <c r="X219" s="26" t="inlineStr">
        <is>
          <t>A highly versatile 3-row mid-size luxury suv that delivers generous space, modern safety tech, and daily utility.</t>
        </is>
      </c>
      <c r="Y219" s="27" t="inlineStr">
        <is>
          <t>https://hips.hearstapps.com/hmg-prod/images/2026-lincoln-aviator.jpg</t>
        </is>
      </c>
      <c r="Z219" s="27" t="inlineStr">
        <is>
          <t>https://www.caranddriver.com/lincoln/aviator</t>
        </is>
      </c>
      <c r="AA219" s="17" t="inlineStr">
        <is>
          <t>Car and Driver Buyer's Guide</t>
        </is>
      </c>
    </row>
    <row r="220" ht="48" customHeight="1">
      <c r="A220" s="4" t="n">
        <v>2026</v>
      </c>
      <c r="B220" s="5" t="inlineStr">
        <is>
          <t>Lincoln</t>
        </is>
      </c>
      <c r="C220" s="5" t="inlineStr">
        <is>
          <t>Navigator</t>
        </is>
      </c>
      <c r="D220" s="5" t="inlineStr">
        <is>
          <t>Black Label 4WD</t>
        </is>
      </c>
      <c r="E220" s="5" t="inlineStr">
        <is>
          <t>Full-Size Luxury 3-Row SUV</t>
        </is>
      </c>
      <c r="F220" s="5" t="inlineStr">
        <is>
          <t>Gasoline</t>
        </is>
      </c>
      <c r="G220" s="6" t="n">
        <v>118000</v>
      </c>
      <c r="H220" s="7" t="n">
        <v>440</v>
      </c>
      <c r="I220" s="7" t="n">
        <v>510</v>
      </c>
      <c r="J220" s="5" t="inlineStr">
        <is>
          <t>3.5L Twin-Turbo V6</t>
        </is>
      </c>
      <c r="K220" s="8" t="n">
        <v>3.5</v>
      </c>
      <c r="L220" s="4" t="n">
        <v>6</v>
      </c>
      <c r="M220" s="5" t="inlineStr">
        <is>
          <t>10-Speed Auto</t>
        </is>
      </c>
      <c r="N220" s="4" t="inlineStr">
        <is>
          <t>4WD</t>
        </is>
      </c>
      <c r="O220" s="4" t="inlineStr">
        <is>
          <t>18 (16/22)</t>
        </is>
      </c>
      <c r="P220" s="4" t="inlineStr">
        <is>
          <t>N/A</t>
        </is>
      </c>
      <c r="Q220" s="9" t="inlineStr">
        <is>
          <t>N/A</t>
        </is>
      </c>
      <c r="R220" s="4" t="n">
        <v>7</v>
      </c>
      <c r="S220" s="10" t="n">
        <v>22.9</v>
      </c>
      <c r="T220" s="7" t="n">
        <v>8700</v>
      </c>
      <c r="U220" s="11" t="inlineStr">
        <is>
          <t>9.0/10</t>
        </is>
      </c>
      <c r="V220" s="12" t="inlineStr">
        <is>
          <t xml:space="preserve"> • Spacious passenger and cargo room
 • Commanding elevated driving position
 • Confidence-inspiring all-weather grip</t>
        </is>
      </c>
      <c r="W220" s="13" t="inlineStr">
        <is>
          <t xml:space="preserve"> • Higher center of gravity than sedans
 • Fuel consumption under heavy load
 • Less engaging steering feel</t>
        </is>
      </c>
      <c r="X220" s="14" t="inlineStr">
        <is>
          <t>A highly versatile full-size luxury 3-row suv that delivers generous space, modern safety tech, and daily utility.</t>
        </is>
      </c>
      <c r="Y220" s="15" t="inlineStr">
        <is>
          <t>https://hips.hearstapps.com/hmg-prod/images/2026-lincoln-navigator.jpg</t>
        </is>
      </c>
      <c r="Z220" s="15" t="inlineStr">
        <is>
          <t>https://www.caranddriver.com/lincoln/navigator</t>
        </is>
      </c>
      <c r="AA220" s="5" t="inlineStr">
        <is>
          <t>Car and Driver Buyer's Guide</t>
        </is>
      </c>
    </row>
    <row r="221" ht="48" customHeight="1">
      <c r="A221" s="16" t="n">
        <v>2026</v>
      </c>
      <c r="B221" s="17" t="inlineStr">
        <is>
          <t>Lotus</t>
        </is>
      </c>
      <c r="C221" s="17" t="inlineStr">
        <is>
          <t>Emira</t>
        </is>
      </c>
      <c r="D221" s="17" t="inlineStr">
        <is>
          <t>First Edition V6 6MT</t>
        </is>
      </c>
      <c r="E221" s="17" t="inlineStr">
        <is>
          <t>Mid-Engine Sports Coupe</t>
        </is>
      </c>
      <c r="F221" s="17" t="inlineStr">
        <is>
          <t>Gasoline</t>
        </is>
      </c>
      <c r="G221" s="18" t="n">
        <v>105400</v>
      </c>
      <c r="H221" s="19" t="n">
        <v>400</v>
      </c>
      <c r="I221" s="19" t="n">
        <v>310</v>
      </c>
      <c r="J221" s="17" t="inlineStr">
        <is>
          <t>3.5L Supercharged Toyota V6</t>
        </is>
      </c>
      <c r="K221" s="20" t="n">
        <v>3.5</v>
      </c>
      <c r="L221" s="16" t="n">
        <v>6</v>
      </c>
      <c r="M221" s="17" t="inlineStr">
        <is>
          <t>6-Speed Manual</t>
        </is>
      </c>
      <c r="N221" s="16" t="inlineStr">
        <is>
          <t>RWD</t>
        </is>
      </c>
      <c r="O221" s="16" t="inlineStr">
        <is>
          <t>20 (17/26)</t>
        </is>
      </c>
      <c r="P221" s="16" t="inlineStr">
        <is>
          <t>N/A</t>
        </is>
      </c>
      <c r="Q221" s="21" t="inlineStr">
        <is>
          <t>N/A</t>
        </is>
      </c>
      <c r="R221" s="16" t="n">
        <v>2</v>
      </c>
      <c r="S221" s="22" t="n">
        <v>7.3</v>
      </c>
      <c r="T221" s="16" t="inlineStr">
        <is>
          <t>N/A</t>
        </is>
      </c>
      <c r="U221" s="28" t="inlineStr">
        <is>
          <t>9.0/10</t>
        </is>
      </c>
      <c r="V221" s="24" t="inlineStr">
        <is>
          <t xml:space="preserve"> • Refined performance and chassis poise
 • Comfortable ergonomic cabin
 • Comprehensive safety suite</t>
        </is>
      </c>
      <c r="W221" s="25" t="inlineStr">
        <is>
          <t xml:space="preserve"> • Firm ride on optional large wheels
 • Option packages add up quickly
 • Infotainment learning curve</t>
        </is>
      </c>
      <c r="X221" s="26" t="inlineStr">
        <is>
          <t>A solid, well-rounded contender in the US mid-engine sports coupe class with competitive dynamics.</t>
        </is>
      </c>
      <c r="Y221" s="27" t="inlineStr">
        <is>
          <t>https://hips.hearstapps.com/hmg-prod/images/2026-lotus-emira.jpg</t>
        </is>
      </c>
      <c r="Z221" s="27" t="inlineStr">
        <is>
          <t>https://www.caranddriver.com/lotus/emira</t>
        </is>
      </c>
      <c r="AA221" s="17" t="inlineStr">
        <is>
          <t>Car and Driver First Drive</t>
        </is>
      </c>
    </row>
    <row r="222" ht="48" customHeight="1">
      <c r="A222" s="4" t="n">
        <v>2026</v>
      </c>
      <c r="B222" s="5" t="inlineStr">
        <is>
          <t>Lotus</t>
        </is>
      </c>
      <c r="C222" s="5" t="inlineStr">
        <is>
          <t>Eletre</t>
        </is>
      </c>
      <c r="D222" s="5" t="inlineStr">
        <is>
          <t>R AWD</t>
        </is>
      </c>
      <c r="E222" s="5" t="inlineStr">
        <is>
          <t>Hyper-Electric SUV</t>
        </is>
      </c>
      <c r="F222" s="5" t="inlineStr">
        <is>
          <t>Electric</t>
        </is>
      </c>
      <c r="G222" s="6" t="n">
        <v>145000</v>
      </c>
      <c r="H222" s="7" t="n">
        <v>905</v>
      </c>
      <c r="I222" s="7" t="n">
        <v>726</v>
      </c>
      <c r="J222" s="5" t="inlineStr">
        <is>
          <t>Dual High-Power Electric Motors</t>
        </is>
      </c>
      <c r="K222" s="4" t="inlineStr">
        <is>
          <t>N/A</t>
        </is>
      </c>
      <c r="L222" s="4" t="n">
        <v>0</v>
      </c>
      <c r="M222" s="5" t="inlineStr">
        <is>
          <t>2-Speed Rear / 1-Speed Front</t>
        </is>
      </c>
      <c r="N222" s="4" t="inlineStr">
        <is>
          <t>AWD</t>
        </is>
      </c>
      <c r="O222" s="4" t="inlineStr">
        <is>
          <t>78 MPGe</t>
        </is>
      </c>
      <c r="P222" s="4" t="inlineStr">
        <is>
          <t>260</t>
        </is>
      </c>
      <c r="Q222" s="10" t="n">
        <v>112</v>
      </c>
      <c r="R222" s="4" t="n">
        <v>5</v>
      </c>
      <c r="S222" s="10" t="n">
        <v>24.3</v>
      </c>
      <c r="T222" s="7" t="n">
        <v>4960</v>
      </c>
      <c r="U222" s="11" t="inlineStr">
        <is>
          <t>8.5/10</t>
        </is>
      </c>
      <c r="V222" s="12" t="inlineStr">
        <is>
          <t xml:space="preserve"> • Silent, instantaneous acceleration
 • Low center of gravity enhances stability
 • Zero tailpipe emissions</t>
        </is>
      </c>
      <c r="W222" s="13" t="inlineStr">
        <is>
          <t xml:space="preserve"> • Highway range drops at sustained speed
 • Public charging network variability
 • Pricier initial purchase cost</t>
        </is>
      </c>
      <c r="X222" s="14" t="inlineStr">
        <is>
          <t>A compelling electric entry in the hyper-electric suv segment offering smooth power delivery and advanced tech.</t>
        </is>
      </c>
      <c r="Y222" s="15" t="inlineStr">
        <is>
          <t>https://hips.hearstapps.com/hmg-prod/images/2026-lotus-eletre.jpg</t>
        </is>
      </c>
      <c r="Z222" s="15" t="inlineStr">
        <is>
          <t>https://www.caranddriver.com/lotus/eletre</t>
        </is>
      </c>
      <c r="AA222" s="5" t="inlineStr">
        <is>
          <t>Car and Driver First Drive</t>
        </is>
      </c>
    </row>
    <row r="223" ht="48" customHeight="1">
      <c r="A223" s="16" t="n">
        <v>2026</v>
      </c>
      <c r="B223" s="17" t="inlineStr">
        <is>
          <t>Lucid</t>
        </is>
      </c>
      <c r="C223" s="17" t="inlineStr">
        <is>
          <t>Air</t>
        </is>
      </c>
      <c r="D223" s="17" t="inlineStr">
        <is>
          <t>Pure RWD</t>
        </is>
      </c>
      <c r="E223" s="17" t="inlineStr">
        <is>
          <t>Full-Size Luxury EV Sedan</t>
        </is>
      </c>
      <c r="F223" s="17" t="inlineStr">
        <is>
          <t>Electric</t>
        </is>
      </c>
      <c r="G223" s="18" t="n">
        <v>71400</v>
      </c>
      <c r="H223" s="19" t="n">
        <v>430</v>
      </c>
      <c r="I223" s="19" t="n">
        <v>406</v>
      </c>
      <c r="J223" s="17" t="inlineStr">
        <is>
          <t>Single Rear Electric Motor</t>
        </is>
      </c>
      <c r="K223" s="16" t="inlineStr">
        <is>
          <t>N/A</t>
        </is>
      </c>
      <c r="L223" s="16" t="n">
        <v>0</v>
      </c>
      <c r="M223" s="17" t="inlineStr">
        <is>
          <t>1-Speed Direct</t>
        </is>
      </c>
      <c r="N223" s="16" t="inlineStr">
        <is>
          <t>RWD</t>
        </is>
      </c>
      <c r="O223" s="16" t="inlineStr">
        <is>
          <t>137 MPGe</t>
        </is>
      </c>
      <c r="P223" s="16" t="inlineStr">
        <is>
          <t>420</t>
        </is>
      </c>
      <c r="Q223" s="22" t="n">
        <v>84</v>
      </c>
      <c r="R223" s="16" t="n">
        <v>5</v>
      </c>
      <c r="S223" s="22" t="n">
        <v>22.1</v>
      </c>
      <c r="T223" s="16" t="inlineStr">
        <is>
          <t>N/A</t>
        </is>
      </c>
      <c r="U223" s="23" t="inlineStr">
        <is>
          <t>10/10</t>
        </is>
      </c>
      <c r="V223" s="24" t="inlineStr">
        <is>
          <t xml:space="preserve"> • Silent, instantaneous acceleration
 • Low center of gravity enhances stability
 • Zero tailpipe emissions</t>
        </is>
      </c>
      <c r="W223" s="25" t="inlineStr">
        <is>
          <t xml:space="preserve"> • Highway range drops at sustained speed
 • Public charging network variability
 • Pricier initial purchase cost</t>
        </is>
      </c>
      <c r="X223" s="26" t="inlineStr">
        <is>
          <t>A compelling electric entry in the full-size luxury ev sedan segment offering smooth power delivery and advanced tech.</t>
        </is>
      </c>
      <c r="Y223" s="27" t="inlineStr">
        <is>
          <t>https://hips.hearstapps.com/hmg-prod/images/2026-lucid-air.jpg</t>
        </is>
      </c>
      <c r="Z223" s="27" t="inlineStr">
        <is>
          <t>https://www.caranddriver.com/lucid/air</t>
        </is>
      </c>
      <c r="AA223" s="17" t="inlineStr">
        <is>
          <t>Car and Driver 10Best Winner</t>
        </is>
      </c>
    </row>
    <row r="224" ht="48" customHeight="1">
      <c r="A224" s="4" t="n">
        <v>2026</v>
      </c>
      <c r="B224" s="5" t="inlineStr">
        <is>
          <t>Lucid</t>
        </is>
      </c>
      <c r="C224" s="5" t="inlineStr">
        <is>
          <t>Air</t>
        </is>
      </c>
      <c r="D224" s="5" t="inlineStr">
        <is>
          <t>Sapphire Tri-Motor</t>
        </is>
      </c>
      <c r="E224" s="5" t="inlineStr">
        <is>
          <t>Ultra-High-Perf EV Sedan</t>
        </is>
      </c>
      <c r="F224" s="5" t="inlineStr">
        <is>
          <t>Electric</t>
        </is>
      </c>
      <c r="G224" s="6" t="n">
        <v>250500</v>
      </c>
      <c r="H224" s="7" t="n">
        <v>1234</v>
      </c>
      <c r="I224" s="7" t="n">
        <v>1430</v>
      </c>
      <c r="J224" s="5" t="inlineStr">
        <is>
          <t>Tri-Motor Electric Drive</t>
        </is>
      </c>
      <c r="K224" s="4" t="inlineStr">
        <is>
          <t>N/A</t>
        </is>
      </c>
      <c r="L224" s="4" t="n">
        <v>0</v>
      </c>
      <c r="M224" s="5" t="inlineStr">
        <is>
          <t>1-Speed Direct</t>
        </is>
      </c>
      <c r="N224" s="4" t="inlineStr">
        <is>
          <t>AWD</t>
        </is>
      </c>
      <c r="O224" s="4" t="inlineStr">
        <is>
          <t>105 MPGe</t>
        </is>
      </c>
      <c r="P224" s="4" t="inlineStr">
        <is>
          <t>427</t>
        </is>
      </c>
      <c r="Q224" s="10" t="n">
        <v>118</v>
      </c>
      <c r="R224" s="4" t="n">
        <v>5</v>
      </c>
      <c r="S224" s="10" t="n">
        <v>22.1</v>
      </c>
      <c r="T224" s="4" t="inlineStr">
        <is>
          <t>N/A</t>
        </is>
      </c>
      <c r="U224" s="29" t="inlineStr">
        <is>
          <t>10/10</t>
        </is>
      </c>
      <c r="V224" s="12" t="inlineStr">
        <is>
          <t xml:space="preserve"> • Silent, instantaneous acceleration
 • Low center of gravity enhances stability
 • Zero tailpipe emissions</t>
        </is>
      </c>
      <c r="W224" s="13" t="inlineStr">
        <is>
          <t xml:space="preserve"> • Highway range drops at sustained speed
 • Public charging network variability
 • Pricier initial purchase cost</t>
        </is>
      </c>
      <c r="X224" s="14" t="inlineStr">
        <is>
          <t>A compelling electric entry in the ultra-high-perf ev sedan segment offering smooth power delivery and advanced tech.</t>
        </is>
      </c>
      <c r="Y224" s="15" t="inlineStr">
        <is>
          <t>https://hips.hearstapps.com/hmg-prod/images/2026-lucid-air.jpg</t>
        </is>
      </c>
      <c r="Z224" s="15" t="inlineStr">
        <is>
          <t>https://www.caranddriver.com/lucid/air</t>
        </is>
      </c>
      <c r="AA224" s="5" t="inlineStr">
        <is>
          <t>Car and Driver 10Best Winner</t>
        </is>
      </c>
    </row>
    <row r="225" ht="48" customHeight="1">
      <c r="A225" s="16" t="n">
        <v>2026</v>
      </c>
      <c r="B225" s="17" t="inlineStr">
        <is>
          <t>Lucid</t>
        </is>
      </c>
      <c r="C225" s="17" t="inlineStr">
        <is>
          <t>Gravity</t>
        </is>
      </c>
      <c r="D225" s="17" t="inlineStr">
        <is>
          <t>Grand Touring AWD</t>
        </is>
      </c>
      <c r="E225" s="17" t="inlineStr">
        <is>
          <t>3-Row Full-Size Luxury EV SUV</t>
        </is>
      </c>
      <c r="F225" s="17" t="inlineStr">
        <is>
          <t>Electric</t>
        </is>
      </c>
      <c r="G225" s="18" t="n">
        <v>96400</v>
      </c>
      <c r="H225" s="19" t="n">
        <v>800</v>
      </c>
      <c r="I225" s="19" t="n">
        <v>800</v>
      </c>
      <c r="J225" s="17" t="inlineStr">
        <is>
          <t>Dual Ultra-Compact Motors</t>
        </is>
      </c>
      <c r="K225" s="16" t="inlineStr">
        <is>
          <t>N/A</t>
        </is>
      </c>
      <c r="L225" s="16" t="n">
        <v>0</v>
      </c>
      <c r="M225" s="17" t="inlineStr">
        <is>
          <t>1-Speed Direct</t>
        </is>
      </c>
      <c r="N225" s="16" t="inlineStr">
        <is>
          <t>AWD</t>
        </is>
      </c>
      <c r="O225" s="16" t="inlineStr">
        <is>
          <t>105 MPGe</t>
        </is>
      </c>
      <c r="P225" s="16" t="inlineStr">
        <is>
          <t>440</t>
        </is>
      </c>
      <c r="Q225" s="22" t="n">
        <v>118</v>
      </c>
      <c r="R225" s="16" t="n">
        <v>7</v>
      </c>
      <c r="S225" s="22" t="n">
        <v>31.7</v>
      </c>
      <c r="T225" s="19" t="n">
        <v>6000</v>
      </c>
      <c r="U225" s="23" t="inlineStr">
        <is>
          <t>9.5/10</t>
        </is>
      </c>
      <c r="V225" s="24" t="inlineStr">
        <is>
          <t xml:space="preserve"> • Silent, instantaneous acceleration
 • Low center of gravity enhances stability
 • Zero tailpipe emissions</t>
        </is>
      </c>
      <c r="W225" s="25" t="inlineStr">
        <is>
          <t xml:space="preserve"> • Highway range drops at sustained speed
 • Public charging network variability
 • Pricier initial purchase cost</t>
        </is>
      </c>
      <c r="X225" s="26" t="inlineStr">
        <is>
          <t>A compelling electric entry in the 3-row full-size luxury ev suv segment offering smooth power delivery and advanced tech.</t>
        </is>
      </c>
      <c r="Y225" s="27" t="inlineStr">
        <is>
          <t>https://hips.hearstapps.com/hmg-prod/images/2026-lucid-gravity.jpg</t>
        </is>
      </c>
      <c r="Z225" s="27" t="inlineStr">
        <is>
          <t>https://www.caranddriver.com/lucid/gravity</t>
        </is>
      </c>
      <c r="AA225" s="17" t="inlineStr">
        <is>
          <t>Car and Driver 10Best Winner</t>
        </is>
      </c>
    </row>
    <row r="226" ht="48" customHeight="1">
      <c r="A226" s="4" t="n">
        <v>2026</v>
      </c>
      <c r="B226" s="5" t="inlineStr">
        <is>
          <t>Maserati</t>
        </is>
      </c>
      <c r="C226" s="5" t="inlineStr">
        <is>
          <t>GranTurismo</t>
        </is>
      </c>
      <c r="D226" s="5" t="inlineStr">
        <is>
          <t>Trofeo AWD</t>
        </is>
      </c>
      <c r="E226" s="5" t="inlineStr">
        <is>
          <t>Luxury GT Coupe</t>
        </is>
      </c>
      <c r="F226" s="5" t="inlineStr">
        <is>
          <t>Gasoline</t>
        </is>
      </c>
      <c r="G226" s="6" t="n">
        <v>192000</v>
      </c>
      <c r="H226" s="7" t="n">
        <v>542</v>
      </c>
      <c r="I226" s="7" t="n">
        <v>479</v>
      </c>
      <c r="J226" s="5" t="inlineStr">
        <is>
          <t>3.0L Twin-Turbo Nettuno V6</t>
        </is>
      </c>
      <c r="K226" s="8" t="n">
        <v>3</v>
      </c>
      <c r="L226" s="4" t="n">
        <v>6</v>
      </c>
      <c r="M226" s="5" t="inlineStr">
        <is>
          <t>8-Speed Auto</t>
        </is>
      </c>
      <c r="N226" s="4" t="inlineStr">
        <is>
          <t>AWD</t>
        </is>
      </c>
      <c r="O226" s="4" t="inlineStr">
        <is>
          <t>21 (18/27)</t>
        </is>
      </c>
      <c r="P226" s="4" t="inlineStr">
        <is>
          <t>N/A</t>
        </is>
      </c>
      <c r="Q226" s="9" t="inlineStr">
        <is>
          <t>N/A</t>
        </is>
      </c>
      <c r="R226" s="4" t="n">
        <v>4</v>
      </c>
      <c r="S226" s="10" t="n">
        <v>10.9</v>
      </c>
      <c r="T226" s="4" t="inlineStr">
        <is>
          <t>N/A</t>
        </is>
      </c>
      <c r="U226" s="11" t="inlineStr">
        <is>
          <t>8.5/10</t>
        </is>
      </c>
      <c r="V226" s="12" t="inlineStr">
        <is>
          <t xml:space="preserve"> • Refined performance and chassis poise
 • Comfortable ergonomic cabin
 • Comprehensive safety suite</t>
        </is>
      </c>
      <c r="W226" s="13" t="inlineStr">
        <is>
          <t xml:space="preserve"> • Firm ride on optional large wheels
 • Option packages add up quickly
 • Infotainment learning curve</t>
        </is>
      </c>
      <c r="X226" s="14" t="inlineStr">
        <is>
          <t>A solid, well-rounded contender in the US luxury gt coupe class with competitive dynamics.</t>
        </is>
      </c>
      <c r="Y226" s="15" t="inlineStr">
        <is>
          <t>https://hips.hearstapps.com/hmg-prod/images/2026-maserati-granturismo.jpg</t>
        </is>
      </c>
      <c r="Z226" s="15" t="inlineStr">
        <is>
          <t>https://www.caranddriver.com/maserati/granturismo</t>
        </is>
      </c>
      <c r="AA226" s="5" t="inlineStr">
        <is>
          <t>Car and Driver First Drive</t>
        </is>
      </c>
    </row>
    <row r="227" ht="48" customHeight="1">
      <c r="A227" s="16" t="n">
        <v>2026</v>
      </c>
      <c r="B227" s="17" t="inlineStr">
        <is>
          <t>Maserati</t>
        </is>
      </c>
      <c r="C227" s="17" t="inlineStr">
        <is>
          <t>GranCabrio</t>
        </is>
      </c>
      <c r="D227" s="17" t="inlineStr">
        <is>
          <t>Folgore EV</t>
        </is>
      </c>
      <c r="E227" s="17" t="inlineStr">
        <is>
          <t>Luxury Electric Convertible</t>
        </is>
      </c>
      <c r="F227" s="17" t="inlineStr">
        <is>
          <t>Electric</t>
        </is>
      </c>
      <c r="G227" s="18" t="n">
        <v>215000</v>
      </c>
      <c r="H227" s="19" t="n">
        <v>818</v>
      </c>
      <c r="I227" s="19" t="n">
        <v>996</v>
      </c>
      <c r="J227" s="17" t="inlineStr">
        <is>
          <t>Tri-Motor 300kW Electric Drive</t>
        </is>
      </c>
      <c r="K227" s="16" t="inlineStr">
        <is>
          <t>N/A</t>
        </is>
      </c>
      <c r="L227" s="16" t="n">
        <v>0</v>
      </c>
      <c r="M227" s="17" t="inlineStr">
        <is>
          <t>1-Speed Direct</t>
        </is>
      </c>
      <c r="N227" s="16" t="inlineStr">
        <is>
          <t>AWD</t>
        </is>
      </c>
      <c r="O227" s="16" t="inlineStr">
        <is>
          <t>78 MPGe (Est)</t>
        </is>
      </c>
      <c r="P227" s="16" t="inlineStr">
        <is>
          <t>250</t>
        </is>
      </c>
      <c r="Q227" s="22" t="n">
        <v>92.5</v>
      </c>
      <c r="R227" s="16" t="n">
        <v>4</v>
      </c>
      <c r="S227" s="22" t="n">
        <v>5.3</v>
      </c>
      <c r="T227" s="16" t="inlineStr">
        <is>
          <t>N/A</t>
        </is>
      </c>
      <c r="U227" s="28" t="inlineStr">
        <is>
          <t>8.5/10</t>
        </is>
      </c>
      <c r="V227" s="24" t="inlineStr">
        <is>
          <t xml:space="preserve"> • Silent, instantaneous acceleration
 • Low center of gravity enhances stability
 • Zero tailpipe emissions</t>
        </is>
      </c>
      <c r="W227" s="25" t="inlineStr">
        <is>
          <t xml:space="preserve"> • Highway range drops at sustained speed
 • Public charging network variability
 • Pricier initial purchase cost</t>
        </is>
      </c>
      <c r="X227" s="26" t="inlineStr">
        <is>
          <t>A compelling electric entry in the luxury electric convertible segment offering smooth power delivery and advanced tech.</t>
        </is>
      </c>
      <c r="Y227" s="27" t="inlineStr">
        <is>
          <t>https://hips.hearstapps.com/hmg-prod/images/2026-maserati-grancabrio.jpg</t>
        </is>
      </c>
      <c r="Z227" s="27" t="inlineStr">
        <is>
          <t>https://www.caranddriver.com/maserati/grancabrio</t>
        </is>
      </c>
      <c r="AA227" s="17" t="inlineStr">
        <is>
          <t>Car and Driver Review</t>
        </is>
      </c>
    </row>
    <row r="228" ht="48" customHeight="1">
      <c r="A228" s="4" t="n">
        <v>2026</v>
      </c>
      <c r="B228" s="5" t="inlineStr">
        <is>
          <t>Maserati</t>
        </is>
      </c>
      <c r="C228" s="5" t="inlineStr">
        <is>
          <t>MC20</t>
        </is>
      </c>
      <c r="D228" s="5" t="inlineStr">
        <is>
          <t>Cielo Spyder</t>
        </is>
      </c>
      <c r="E228" s="5" t="inlineStr">
        <is>
          <t>Mid-Engine Supercar</t>
        </is>
      </c>
      <c r="F228" s="5" t="inlineStr">
        <is>
          <t>Gasoline</t>
        </is>
      </c>
      <c r="G228" s="6" t="n">
        <v>295000</v>
      </c>
      <c r="H228" s="7" t="n">
        <v>621</v>
      </c>
      <c r="I228" s="7" t="n">
        <v>538</v>
      </c>
      <c r="J228" s="5" t="inlineStr">
        <is>
          <t>3.0L Twin-Turbo Nettuno V6</t>
        </is>
      </c>
      <c r="K228" s="8" t="n">
        <v>3</v>
      </c>
      <c r="L228" s="4" t="n">
        <v>6</v>
      </c>
      <c r="M228" s="5" t="inlineStr">
        <is>
          <t>8-Speed Dual-Clutch</t>
        </is>
      </c>
      <c r="N228" s="4" t="inlineStr">
        <is>
          <t>RWD</t>
        </is>
      </c>
      <c r="O228" s="4" t="inlineStr">
        <is>
          <t>18 (15/25)</t>
        </is>
      </c>
      <c r="P228" s="4" t="inlineStr">
        <is>
          <t>N/A</t>
        </is>
      </c>
      <c r="Q228" s="9" t="inlineStr">
        <is>
          <t>N/A</t>
        </is>
      </c>
      <c r="R228" s="4" t="n">
        <v>2</v>
      </c>
      <c r="S228" s="10" t="n">
        <v>5.3</v>
      </c>
      <c r="T228" s="4" t="inlineStr">
        <is>
          <t>N/A</t>
        </is>
      </c>
      <c r="U228" s="29" t="inlineStr">
        <is>
          <t>9.5/10</t>
        </is>
      </c>
      <c r="V228" s="12" t="inlineStr">
        <is>
          <t xml:space="preserve"> • Refined performance and chassis poise
 • Comfortable ergonomic cabin
 • Comprehensive safety suite</t>
        </is>
      </c>
      <c r="W228" s="13" t="inlineStr">
        <is>
          <t xml:space="preserve"> • Firm ride on optional large wheels
 • Option packages add up quickly
 • Infotainment learning curve</t>
        </is>
      </c>
      <c r="X228" s="14" t="inlineStr">
        <is>
          <t>A solid, well-rounded contender in the US mid-engine supercar class with competitive dynamics.</t>
        </is>
      </c>
      <c r="Y228" s="15" t="inlineStr">
        <is>
          <t>https://hips.hearstapps.com/hmg-prod/images/2026-maserati-mc20.jpg</t>
        </is>
      </c>
      <c r="Z228" s="15" t="inlineStr">
        <is>
          <t>https://www.caranddriver.com/maserati/mc20</t>
        </is>
      </c>
      <c r="AA228" s="5" t="inlineStr">
        <is>
          <t>Car and Driver Review</t>
        </is>
      </c>
    </row>
    <row r="229" ht="48" customHeight="1">
      <c r="A229" s="16" t="n">
        <v>2026</v>
      </c>
      <c r="B229" s="17" t="inlineStr">
        <is>
          <t>Maserati</t>
        </is>
      </c>
      <c r="C229" s="17" t="inlineStr">
        <is>
          <t>Grecale</t>
        </is>
      </c>
      <c r="D229" s="17" t="inlineStr">
        <is>
          <t>Trofeo AWD</t>
        </is>
      </c>
      <c r="E229" s="17" t="inlineStr">
        <is>
          <t>Compact Luxury Performance SUV</t>
        </is>
      </c>
      <c r="F229" s="17" t="inlineStr">
        <is>
          <t>Gasoline</t>
        </is>
      </c>
      <c r="G229" s="18" t="n">
        <v>108000</v>
      </c>
      <c r="H229" s="19" t="n">
        <v>523</v>
      </c>
      <c r="I229" s="19" t="n">
        <v>457</v>
      </c>
      <c r="J229" s="17" t="inlineStr">
        <is>
          <t>3.0L Twin-Turbo Nettuno V6</t>
        </is>
      </c>
      <c r="K229" s="20" t="n">
        <v>3</v>
      </c>
      <c r="L229" s="16" t="n">
        <v>6</v>
      </c>
      <c r="M229" s="17" t="inlineStr">
        <is>
          <t>8-Speed Auto</t>
        </is>
      </c>
      <c r="N229" s="16" t="inlineStr">
        <is>
          <t>AWD</t>
        </is>
      </c>
      <c r="O229" s="16" t="inlineStr">
        <is>
          <t>20 (18/25)</t>
        </is>
      </c>
      <c r="P229" s="16" t="inlineStr">
        <is>
          <t>N/A</t>
        </is>
      </c>
      <c r="Q229" s="21" t="inlineStr">
        <is>
          <t>N/A</t>
        </is>
      </c>
      <c r="R229" s="16" t="n">
        <v>5</v>
      </c>
      <c r="S229" s="22" t="n">
        <v>20.1</v>
      </c>
      <c r="T229" s="19" t="n">
        <v>5070</v>
      </c>
      <c r="U229" s="28" t="inlineStr">
        <is>
          <t>8.5/10</t>
        </is>
      </c>
      <c r="V229" s="24" t="inlineStr">
        <is>
          <t xml:space="preserve"> • Spacious passenger and cargo room
 • Commanding elevated driving position
 • Confidence-inspiring all-weather grip</t>
        </is>
      </c>
      <c r="W229" s="25" t="inlineStr">
        <is>
          <t xml:space="preserve"> • Higher center of gravity than sedans
 • Fuel consumption under heavy load
 • Less engaging steering feel</t>
        </is>
      </c>
      <c r="X229" s="26" t="inlineStr">
        <is>
          <t>A highly versatile compact luxury performance suv that delivers generous space, modern safety tech, and daily utility.</t>
        </is>
      </c>
      <c r="Y229" s="27" t="inlineStr">
        <is>
          <t>https://hips.hearstapps.com/hmg-prod/images/2026-maserati-grecale.jpg</t>
        </is>
      </c>
      <c r="Z229" s="27" t="inlineStr">
        <is>
          <t>https://www.caranddriver.com/maserati/grecale</t>
        </is>
      </c>
      <c r="AA229" s="17" t="inlineStr">
        <is>
          <t>Car and Driver Buyer's Guide</t>
        </is>
      </c>
    </row>
    <row r="230" ht="48" customHeight="1">
      <c r="A230" s="4" t="n">
        <v>2026</v>
      </c>
      <c r="B230" s="5" t="inlineStr">
        <is>
          <t>Mazda</t>
        </is>
      </c>
      <c r="C230" s="5" t="inlineStr">
        <is>
          <t>3</t>
        </is>
      </c>
      <c r="D230" s="5" t="inlineStr">
        <is>
          <t>2.5 Turbo Premium Plus</t>
        </is>
      </c>
      <c r="E230" s="5" t="inlineStr">
        <is>
          <t>Compact Hatchback</t>
        </is>
      </c>
      <c r="F230" s="5" t="inlineStr">
        <is>
          <t>Gasoline</t>
        </is>
      </c>
      <c r="G230" s="6" t="n">
        <v>37000</v>
      </c>
      <c r="H230" s="7" t="n">
        <v>250</v>
      </c>
      <c r="I230" s="7" t="n">
        <v>320</v>
      </c>
      <c r="J230" s="5" t="inlineStr">
        <is>
          <t>2.5L Turbo I4</t>
        </is>
      </c>
      <c r="K230" s="8" t="n">
        <v>2.5</v>
      </c>
      <c r="L230" s="4" t="n">
        <v>4</v>
      </c>
      <c r="M230" s="5" t="inlineStr">
        <is>
          <t>6-Speed Sport Auto</t>
        </is>
      </c>
      <c r="N230" s="4" t="inlineStr">
        <is>
          <t>i-Activ AWD</t>
        </is>
      </c>
      <c r="O230" s="4" t="inlineStr">
        <is>
          <t>26 (23/31)</t>
        </is>
      </c>
      <c r="P230" s="4" t="inlineStr">
        <is>
          <t>N/A</t>
        </is>
      </c>
      <c r="Q230" s="9" t="inlineStr">
        <is>
          <t>N/A</t>
        </is>
      </c>
      <c r="R230" s="4" t="n">
        <v>5</v>
      </c>
      <c r="S230" s="10" t="n">
        <v>20.1</v>
      </c>
      <c r="T230" s="4" t="inlineStr">
        <is>
          <t>N/A</t>
        </is>
      </c>
      <c r="U230" s="29" t="inlineStr">
        <is>
          <t>9.5/10</t>
        </is>
      </c>
      <c r="V230" s="12" t="inlineStr">
        <is>
          <t xml:space="preserve"> • Sharper handling dynamics than taller SUVs
 • Superior highway fuel economy
 • Easy maneuvering in urban spaces</t>
        </is>
      </c>
      <c r="W230" s="13" t="inlineStr">
        <is>
          <t xml:space="preserve"> • Less cargo flexibility than crossovers
 • Lower seating hip point for ingress
 • Fewer AWD options</t>
        </is>
      </c>
      <c r="X230" s="14" t="inlineStr">
        <is>
          <t>A well-proportioned compact hatchback offering superior driving manners and efficiency over conventional crossovers.</t>
        </is>
      </c>
      <c r="Y230" s="15" t="inlineStr">
        <is>
          <t>https://hips.hearstapps.com/hmg-prod/images/2026-mazda-3.jpg</t>
        </is>
      </c>
      <c r="Z230" s="15" t="inlineStr">
        <is>
          <t>https://www.caranddriver.com/mazda/3</t>
        </is>
      </c>
      <c r="AA230" s="5" t="inlineStr">
        <is>
          <t>Car and Driver 10Best Winner</t>
        </is>
      </c>
    </row>
    <row r="231" ht="48" customHeight="1">
      <c r="A231" s="16" t="n">
        <v>2026</v>
      </c>
      <c r="B231" s="17" t="inlineStr">
        <is>
          <t>Mazda</t>
        </is>
      </c>
      <c r="C231" s="17" t="inlineStr">
        <is>
          <t>MX-5 Miata</t>
        </is>
      </c>
      <c r="D231" s="17" t="inlineStr">
        <is>
          <t>Club Brembo/BBS</t>
        </is>
      </c>
      <c r="E231" s="17" t="inlineStr">
        <is>
          <t>Roadster</t>
        </is>
      </c>
      <c r="F231" s="17" t="inlineStr">
        <is>
          <t>Gasoline</t>
        </is>
      </c>
      <c r="G231" s="18" t="n">
        <v>34500</v>
      </c>
      <c r="H231" s="19" t="n">
        <v>181</v>
      </c>
      <c r="I231" s="19" t="n">
        <v>151</v>
      </c>
      <c r="J231" s="17" t="inlineStr">
        <is>
          <t>2.0L Skyactiv-G I4</t>
        </is>
      </c>
      <c r="K231" s="20" t="n">
        <v>2</v>
      </c>
      <c r="L231" s="16" t="n">
        <v>4</v>
      </c>
      <c r="M231" s="17" t="inlineStr">
        <is>
          <t>6-Speed Manual</t>
        </is>
      </c>
      <c r="N231" s="16" t="inlineStr">
        <is>
          <t>RWD</t>
        </is>
      </c>
      <c r="O231" s="16" t="inlineStr">
        <is>
          <t>29 (26/34)</t>
        </is>
      </c>
      <c r="P231" s="16" t="inlineStr">
        <is>
          <t>N/A</t>
        </is>
      </c>
      <c r="Q231" s="21" t="inlineStr">
        <is>
          <t>N/A</t>
        </is>
      </c>
      <c r="R231" s="16" t="n">
        <v>2</v>
      </c>
      <c r="S231" s="22" t="n">
        <v>4.6</v>
      </c>
      <c r="T231" s="16" t="inlineStr">
        <is>
          <t>N/A</t>
        </is>
      </c>
      <c r="U231" s="23" t="inlineStr">
        <is>
          <t>10/10</t>
        </is>
      </c>
      <c r="V231" s="24" t="inlineStr">
        <is>
          <t xml:space="preserve"> • Featherweight handling purity
 • Tactile manual gearbox and clutch
 • Accessible rear-wheel-drive thrills</t>
        </is>
      </c>
      <c r="W231" s="25" t="inlineStr">
        <is>
          <t xml:space="preserve"> • Cramped cockpit and trunk
 • Loud highway tire noise
 • Not practical as a primary family vehicle</t>
        </is>
      </c>
      <c r="X231" s="26" t="inlineStr">
        <is>
          <t>An endangered species of lightweight, analog sports car that rewards driving enthusiasts with every mile.</t>
        </is>
      </c>
      <c r="Y231" s="27" t="inlineStr">
        <is>
          <t>https://hips.hearstapps.com/hmg-prod/images/2026-mazda-mx-5-miata.jpg</t>
        </is>
      </c>
      <c r="Z231" s="27" t="inlineStr">
        <is>
          <t>https://www.caranddriver.com/mazda/mx-5-miata</t>
        </is>
      </c>
      <c r="AA231" s="17" t="inlineStr">
        <is>
          <t>Car and Driver 10Best Winner</t>
        </is>
      </c>
    </row>
    <row r="232" ht="48" customHeight="1">
      <c r="A232" s="4" t="n">
        <v>2026</v>
      </c>
      <c r="B232" s="5" t="inlineStr">
        <is>
          <t>Mazda</t>
        </is>
      </c>
      <c r="C232" s="5" t="inlineStr">
        <is>
          <t>CX-30</t>
        </is>
      </c>
      <c r="D232" s="5" t="inlineStr">
        <is>
          <t>2.5 Turbo Premium Plus</t>
        </is>
      </c>
      <c r="E232" s="5" t="inlineStr">
        <is>
          <t>Subcompact Crossover</t>
        </is>
      </c>
      <c r="F232" s="5" t="inlineStr">
        <is>
          <t>Gasoline</t>
        </is>
      </c>
      <c r="G232" s="6" t="n">
        <v>38000</v>
      </c>
      <c r="H232" s="7" t="n">
        <v>250</v>
      </c>
      <c r="I232" s="7" t="n">
        <v>320</v>
      </c>
      <c r="J232" s="5" t="inlineStr">
        <is>
          <t>2.5L Turbo I4</t>
        </is>
      </c>
      <c r="K232" s="8" t="n">
        <v>2.5</v>
      </c>
      <c r="L232" s="4" t="n">
        <v>4</v>
      </c>
      <c r="M232" s="5" t="inlineStr">
        <is>
          <t>6-Speed Auto</t>
        </is>
      </c>
      <c r="N232" s="4" t="inlineStr">
        <is>
          <t>i-Activ AWD</t>
        </is>
      </c>
      <c r="O232" s="4" t="inlineStr">
        <is>
          <t>25 (22/30)</t>
        </is>
      </c>
      <c r="P232" s="4" t="inlineStr">
        <is>
          <t>N/A</t>
        </is>
      </c>
      <c r="Q232" s="9" t="inlineStr">
        <is>
          <t>N/A</t>
        </is>
      </c>
      <c r="R232" s="4" t="n">
        <v>5</v>
      </c>
      <c r="S232" s="10" t="n">
        <v>20.2</v>
      </c>
      <c r="T232" s="7" t="n">
        <v>2000</v>
      </c>
      <c r="U232" s="11" t="inlineStr">
        <is>
          <t>9.0/10</t>
        </is>
      </c>
      <c r="V232" s="12" t="inlineStr">
        <is>
          <t xml:space="preserve"> • Spacious passenger and cargo room
 • Commanding elevated driving position
 • Confidence-inspiring all-weather grip</t>
        </is>
      </c>
      <c r="W232" s="13" t="inlineStr">
        <is>
          <t xml:space="preserve"> • Higher center of gravity than sedans
 • Fuel consumption under heavy load
 • Less engaging steering feel</t>
        </is>
      </c>
      <c r="X232" s="14" t="inlineStr">
        <is>
          <t>A highly versatile subcompact crossover that delivers generous space, modern safety tech, and daily utility.</t>
        </is>
      </c>
      <c r="Y232" s="15" t="inlineStr">
        <is>
          <t>https://hips.hearstapps.com/hmg-prod/images/2026-mazda-cx-30.jpg</t>
        </is>
      </c>
      <c r="Z232" s="15" t="inlineStr">
        <is>
          <t>https://www.caranddriver.com/mazda/cx-30</t>
        </is>
      </c>
      <c r="AA232" s="5" t="inlineStr">
        <is>
          <t>Car and Driver Editors' Choice</t>
        </is>
      </c>
    </row>
    <row r="233" ht="48" customHeight="1">
      <c r="A233" s="16" t="n">
        <v>2026</v>
      </c>
      <c r="B233" s="17" t="inlineStr">
        <is>
          <t>Mazda</t>
        </is>
      </c>
      <c r="C233" s="17" t="inlineStr">
        <is>
          <t>CX-50</t>
        </is>
      </c>
      <c r="D233" s="17" t="inlineStr">
        <is>
          <t>2.5 Turbo Meridian Edition</t>
        </is>
      </c>
      <c r="E233" s="17" t="inlineStr">
        <is>
          <t>Compact Rugged Crossover</t>
        </is>
      </c>
      <c r="F233" s="17" t="inlineStr">
        <is>
          <t>Gasoline</t>
        </is>
      </c>
      <c r="G233" s="18" t="n">
        <v>42300</v>
      </c>
      <c r="H233" s="19" t="n">
        <v>256</v>
      </c>
      <c r="I233" s="19" t="n">
        <v>320</v>
      </c>
      <c r="J233" s="17" t="inlineStr">
        <is>
          <t>2.5L Turbo I4</t>
        </is>
      </c>
      <c r="K233" s="20" t="n">
        <v>2.5</v>
      </c>
      <c r="L233" s="16" t="n">
        <v>4</v>
      </c>
      <c r="M233" s="17" t="inlineStr">
        <is>
          <t>6-Speed Auto</t>
        </is>
      </c>
      <c r="N233" s="16" t="inlineStr">
        <is>
          <t>i-Activ AWD</t>
        </is>
      </c>
      <c r="O233" s="16" t="inlineStr">
        <is>
          <t>25 (23/29)</t>
        </is>
      </c>
      <c r="P233" s="16" t="inlineStr">
        <is>
          <t>N/A</t>
        </is>
      </c>
      <c r="Q233" s="21" t="inlineStr">
        <is>
          <t>N/A</t>
        </is>
      </c>
      <c r="R233" s="16" t="n">
        <v>5</v>
      </c>
      <c r="S233" s="22" t="n">
        <v>31.4</v>
      </c>
      <c r="T233" s="19" t="n">
        <v>3500</v>
      </c>
      <c r="U233" s="28" t="inlineStr">
        <is>
          <t>9.0/10</t>
        </is>
      </c>
      <c r="V233" s="24" t="inlineStr">
        <is>
          <t xml:space="preserve"> • Spacious passenger and cargo room
 • Commanding elevated driving position
 • Confidence-inspiring all-weather grip</t>
        </is>
      </c>
      <c r="W233" s="25" t="inlineStr">
        <is>
          <t xml:space="preserve"> • Higher center of gravity than sedans
 • Fuel consumption under heavy load
 • Less engaging steering feel</t>
        </is>
      </c>
      <c r="X233" s="26" t="inlineStr">
        <is>
          <t>A highly versatile compact rugged crossover that delivers generous space, modern safety tech, and daily utility.</t>
        </is>
      </c>
      <c r="Y233" s="27" t="inlineStr">
        <is>
          <t>https://hips.hearstapps.com/hmg-prod/images/2026-mazda-cx-50.jpg</t>
        </is>
      </c>
      <c r="Z233" s="27" t="inlineStr">
        <is>
          <t>https://www.caranddriver.com/mazda/cx-50</t>
        </is>
      </c>
      <c r="AA233" s="17" t="inlineStr">
        <is>
          <t>Car and Driver 10Best Winner</t>
        </is>
      </c>
    </row>
    <row r="234" ht="48" customHeight="1">
      <c r="A234" s="4" t="n">
        <v>2026</v>
      </c>
      <c r="B234" s="5" t="inlineStr">
        <is>
          <t>Mazda</t>
        </is>
      </c>
      <c r="C234" s="5" t="inlineStr">
        <is>
          <t>CX-5</t>
        </is>
      </c>
      <c r="D234" s="5" t="inlineStr">
        <is>
          <t>2.5 Turbo Signature</t>
        </is>
      </c>
      <c r="E234" s="5" t="inlineStr">
        <is>
          <t>Compact Crossover</t>
        </is>
      </c>
      <c r="F234" s="5" t="inlineStr">
        <is>
          <t>Gasoline</t>
        </is>
      </c>
      <c r="G234" s="6" t="n">
        <v>41500</v>
      </c>
      <c r="H234" s="7" t="n">
        <v>256</v>
      </c>
      <c r="I234" s="7" t="n">
        <v>320</v>
      </c>
      <c r="J234" s="5" t="inlineStr">
        <is>
          <t>2.5L Turbo I4</t>
        </is>
      </c>
      <c r="K234" s="8" t="n">
        <v>2.5</v>
      </c>
      <c r="L234" s="4" t="n">
        <v>4</v>
      </c>
      <c r="M234" s="5" t="inlineStr">
        <is>
          <t>6-Speed Auto</t>
        </is>
      </c>
      <c r="N234" s="4" t="inlineStr">
        <is>
          <t>i-Activ AWD</t>
        </is>
      </c>
      <c r="O234" s="4" t="inlineStr">
        <is>
          <t>24 (22/27)</t>
        </is>
      </c>
      <c r="P234" s="4" t="inlineStr">
        <is>
          <t>N/A</t>
        </is>
      </c>
      <c r="Q234" s="9" t="inlineStr">
        <is>
          <t>N/A</t>
        </is>
      </c>
      <c r="R234" s="4" t="n">
        <v>5</v>
      </c>
      <c r="S234" s="10" t="n">
        <v>30.8</v>
      </c>
      <c r="T234" s="7" t="n">
        <v>2000</v>
      </c>
      <c r="U234" s="11" t="inlineStr">
        <is>
          <t>8.5/10</t>
        </is>
      </c>
      <c r="V234" s="12" t="inlineStr">
        <is>
          <t xml:space="preserve"> • Spacious passenger and cargo room
 • Commanding elevated driving position
 • Confidence-inspiring all-weather grip</t>
        </is>
      </c>
      <c r="W234" s="13" t="inlineStr">
        <is>
          <t xml:space="preserve"> • Higher center of gravity than sedans
 • Fuel consumption under heavy load
 • Less engaging steering feel</t>
        </is>
      </c>
      <c r="X234" s="14" t="inlineStr">
        <is>
          <t>A highly versatile compact crossover that delivers generous space, modern safety tech, and daily utility.</t>
        </is>
      </c>
      <c r="Y234" s="15" t="inlineStr">
        <is>
          <t>https://hips.hearstapps.com/hmg-prod/images/2026-mazda-cx-5.jpg</t>
        </is>
      </c>
      <c r="Z234" s="15" t="inlineStr">
        <is>
          <t>https://www.caranddriver.com/mazda/cx-5</t>
        </is>
      </c>
      <c r="AA234" s="5" t="inlineStr">
        <is>
          <t>Car and Driver Editors' Choice</t>
        </is>
      </c>
    </row>
    <row r="235" ht="48" customHeight="1">
      <c r="A235" s="16" t="n">
        <v>2026</v>
      </c>
      <c r="B235" s="17" t="inlineStr">
        <is>
          <t>Mazda</t>
        </is>
      </c>
      <c r="C235" s="17" t="inlineStr">
        <is>
          <t>CX-70</t>
        </is>
      </c>
      <c r="D235" s="17" t="inlineStr">
        <is>
          <t>3.3 Turbo S Premium Plus</t>
        </is>
      </c>
      <c r="E235" s="17" t="inlineStr">
        <is>
          <t>Mid-Size 2-Row SUV</t>
        </is>
      </c>
      <c r="F235" s="17" t="inlineStr">
        <is>
          <t>Mild Hybrid</t>
        </is>
      </c>
      <c r="G235" s="18" t="n">
        <v>57500</v>
      </c>
      <c r="H235" s="19" t="n">
        <v>340</v>
      </c>
      <c r="I235" s="19" t="n">
        <v>369</v>
      </c>
      <c r="J235" s="17" t="inlineStr">
        <is>
          <t>3.3L e-Skyactiv Turbo I6</t>
        </is>
      </c>
      <c r="K235" s="20" t="n">
        <v>3.3</v>
      </c>
      <c r="L235" s="16" t="n">
        <v>6</v>
      </c>
      <c r="M235" s="17" t="inlineStr">
        <is>
          <t>8-Speed Multi-Clutch</t>
        </is>
      </c>
      <c r="N235" s="16" t="inlineStr">
        <is>
          <t>i-Activ AWD</t>
        </is>
      </c>
      <c r="O235" s="16" t="inlineStr">
        <is>
          <t>25 (23/28)</t>
        </is>
      </c>
      <c r="P235" s="16" t="inlineStr">
        <is>
          <t>N/A</t>
        </is>
      </c>
      <c r="Q235" s="21" t="inlineStr">
        <is>
          <t>N/A</t>
        </is>
      </c>
      <c r="R235" s="16" t="n">
        <v>5</v>
      </c>
      <c r="S235" s="22" t="n">
        <v>39.6</v>
      </c>
      <c r="T235" s="19" t="n">
        <v>5000</v>
      </c>
      <c r="U235" s="28" t="inlineStr">
        <is>
          <t>9.0/10</t>
        </is>
      </c>
      <c r="V235" s="24" t="inlineStr">
        <is>
          <t xml:space="preserve"> • Superb real-world fuel economy
 • Smooth electric-gas power handover
 • No range anxiety on long trips</t>
        </is>
      </c>
      <c r="W235" s="25" t="inlineStr">
        <is>
          <t xml:space="preserve"> • Added curb weight from battery packs
 • Slightly compromised cargo space
 • eCVT engine flare during passing</t>
        </is>
      </c>
      <c r="X235" s="26" t="inlineStr">
        <is>
          <t>A finely engineered mild hybrid mid-size 2-row suv striking the optimal balance between high efficiency and long-distance practicality.</t>
        </is>
      </c>
      <c r="Y235" s="27" t="inlineStr">
        <is>
          <t>https://hips.hearstapps.com/hmg-prod/images/2026-mazda-cx-70.jpg</t>
        </is>
      </c>
      <c r="Z235" s="27" t="inlineStr">
        <is>
          <t>https://www.caranddriver.com/mazda/cx-70</t>
        </is>
      </c>
      <c r="AA235" s="17" t="inlineStr">
        <is>
          <t>Car and Driver Buyer's Guide</t>
        </is>
      </c>
    </row>
    <row r="236" ht="48" customHeight="1">
      <c r="A236" s="4" t="n">
        <v>2026</v>
      </c>
      <c r="B236" s="5" t="inlineStr">
        <is>
          <t>Mazda</t>
        </is>
      </c>
      <c r="C236" s="5" t="inlineStr">
        <is>
          <t>CX-90</t>
        </is>
      </c>
      <c r="D236" s="5" t="inlineStr">
        <is>
          <t>3.3 Turbo S Premium Plus</t>
        </is>
      </c>
      <c r="E236" s="5" t="inlineStr">
        <is>
          <t>3-Row Mid-Size SUV</t>
        </is>
      </c>
      <c r="F236" s="5" t="inlineStr">
        <is>
          <t>Mild Hybrid</t>
        </is>
      </c>
      <c r="G236" s="6" t="n">
        <v>58950</v>
      </c>
      <c r="H236" s="7" t="n">
        <v>340</v>
      </c>
      <c r="I236" s="7" t="n">
        <v>369</v>
      </c>
      <c r="J236" s="5" t="inlineStr">
        <is>
          <t>3.3L e-Skyactiv Turbo I6</t>
        </is>
      </c>
      <c r="K236" s="8" t="n">
        <v>3.3</v>
      </c>
      <c r="L236" s="4" t="n">
        <v>6</v>
      </c>
      <c r="M236" s="5" t="inlineStr">
        <is>
          <t>8-Speed Multi-Clutch</t>
        </is>
      </c>
      <c r="N236" s="4" t="inlineStr">
        <is>
          <t>i-Activ AWD</t>
        </is>
      </c>
      <c r="O236" s="4" t="inlineStr">
        <is>
          <t>25 (23/28)</t>
        </is>
      </c>
      <c r="P236" s="4" t="inlineStr">
        <is>
          <t>N/A</t>
        </is>
      </c>
      <c r="Q236" s="9" t="inlineStr">
        <is>
          <t>N/A</t>
        </is>
      </c>
      <c r="R236" s="4" t="n">
        <v>7</v>
      </c>
      <c r="S236" s="10" t="n">
        <v>15.9</v>
      </c>
      <c r="T236" s="7" t="n">
        <v>5000</v>
      </c>
      <c r="U236" s="11" t="inlineStr">
        <is>
          <t>9.0/10</t>
        </is>
      </c>
      <c r="V236" s="12" t="inlineStr">
        <is>
          <t xml:space="preserve"> • Superb real-world fuel economy
 • Smooth electric-gas power handover
 • No range anxiety on long trips</t>
        </is>
      </c>
      <c r="W236" s="13" t="inlineStr">
        <is>
          <t xml:space="preserve"> • Added curb weight from battery packs
 • Slightly compromised cargo space
 • eCVT engine flare during passing</t>
        </is>
      </c>
      <c r="X236" s="14" t="inlineStr">
        <is>
          <t>A finely engineered mild hybrid 3-row mid-size suv striking the optimal balance between high efficiency and long-distance practicality.</t>
        </is>
      </c>
      <c r="Y236" s="15" t="inlineStr">
        <is>
          <t>https://hips.hearstapps.com/hmg-prod/images/2026-mazda-cx-90.jpg</t>
        </is>
      </c>
      <c r="Z236" s="15" t="inlineStr">
        <is>
          <t>https://www.caranddriver.com/mazda/cx-90</t>
        </is>
      </c>
      <c r="AA236" s="5" t="inlineStr">
        <is>
          <t>Car and Driver Buyer's Guide</t>
        </is>
      </c>
    </row>
    <row r="237" ht="48" customHeight="1">
      <c r="A237" s="16" t="n">
        <v>2026</v>
      </c>
      <c r="B237" s="17" t="inlineStr">
        <is>
          <t>McLaren</t>
        </is>
      </c>
      <c r="C237" s="17" t="inlineStr">
        <is>
          <t>Artura</t>
        </is>
      </c>
      <c r="D237" s="17" t="inlineStr">
        <is>
          <t>Spider Base</t>
        </is>
      </c>
      <c r="E237" s="17" t="inlineStr">
        <is>
          <t>Mid-Engine Supercar Spyder</t>
        </is>
      </c>
      <c r="F237" s="17" t="inlineStr">
        <is>
          <t>PHEV</t>
        </is>
      </c>
      <c r="G237" s="18" t="n">
        <v>273800</v>
      </c>
      <c r="H237" s="19" t="n">
        <v>690</v>
      </c>
      <c r="I237" s="19" t="n">
        <v>531</v>
      </c>
      <c r="J237" s="17" t="inlineStr">
        <is>
          <t>3.0L Twin-Turbo V6 + Axial Motor</t>
        </is>
      </c>
      <c r="K237" s="20" t="n">
        <v>3</v>
      </c>
      <c r="L237" s="16" t="n">
        <v>6</v>
      </c>
      <c r="M237" s="17" t="inlineStr">
        <is>
          <t>8-Speed Dual-Clutch</t>
        </is>
      </c>
      <c r="N237" s="16" t="inlineStr">
        <is>
          <t>RWD</t>
        </is>
      </c>
      <c r="O237" s="16" t="inlineStr">
        <is>
          <t>39 MPGe / 19 Comb</t>
        </is>
      </c>
      <c r="P237" s="16" t="inlineStr">
        <is>
          <t>11</t>
        </is>
      </c>
      <c r="Q237" s="22" t="n">
        <v>7.4</v>
      </c>
      <c r="R237" s="16" t="n">
        <v>2</v>
      </c>
      <c r="S237" s="22" t="n">
        <v>5.7</v>
      </c>
      <c r="T237" s="16" t="inlineStr">
        <is>
          <t>N/A</t>
        </is>
      </c>
      <c r="U237" s="23" t="inlineStr">
        <is>
          <t>9.5/10</t>
        </is>
      </c>
      <c r="V237" s="24" t="inlineStr">
        <is>
          <t xml:space="preserve"> • Superb real-world fuel economy
 • Smooth electric-gas power handover
 • No range anxiety on long trips</t>
        </is>
      </c>
      <c r="W237" s="25" t="inlineStr">
        <is>
          <t xml:space="preserve"> • Added curb weight from battery packs
 • Slightly compromised cargo space
 • eCVT engine flare during passing</t>
        </is>
      </c>
      <c r="X237" s="26" t="inlineStr">
        <is>
          <t>A finely engineered phev mid-engine supercar spyder striking the optimal balance between high efficiency and long-distance practicality.</t>
        </is>
      </c>
      <c r="Y237" s="27" t="inlineStr">
        <is>
          <t>https://hips.hearstapps.com/hmg-prod/images/2026-mclaren-artura.jpg</t>
        </is>
      </c>
      <c r="Z237" s="27" t="inlineStr">
        <is>
          <t>https://www.caranddriver.com/mclaren/artura</t>
        </is>
      </c>
      <c r="AA237" s="17" t="inlineStr">
        <is>
          <t>Car and Driver Review</t>
        </is>
      </c>
    </row>
    <row r="238" ht="48" customHeight="1">
      <c r="A238" s="4" t="n">
        <v>2026</v>
      </c>
      <c r="B238" s="5" t="inlineStr">
        <is>
          <t>McLaren</t>
        </is>
      </c>
      <c r="C238" s="5" t="inlineStr">
        <is>
          <t>750S</t>
        </is>
      </c>
      <c r="D238" s="5" t="inlineStr">
        <is>
          <t>Coupe Base</t>
        </is>
      </c>
      <c r="E238" s="5" t="inlineStr">
        <is>
          <t>Supercar</t>
        </is>
      </c>
      <c r="F238" s="5" t="inlineStr">
        <is>
          <t>Gasoline</t>
        </is>
      </c>
      <c r="G238" s="6" t="n">
        <v>335000</v>
      </c>
      <c r="H238" s="7" t="n">
        <v>740</v>
      </c>
      <c r="I238" s="7" t="n">
        <v>590</v>
      </c>
      <c r="J238" s="5" t="inlineStr">
        <is>
          <t>4.0L Twin-Turbo V8</t>
        </is>
      </c>
      <c r="K238" s="8" t="n">
        <v>4</v>
      </c>
      <c r="L238" s="4" t="n">
        <v>8</v>
      </c>
      <c r="M238" s="5" t="inlineStr">
        <is>
          <t>7-Speed Dual-Clutch</t>
        </is>
      </c>
      <c r="N238" s="4" t="inlineStr">
        <is>
          <t>RWD</t>
        </is>
      </c>
      <c r="O238" s="4" t="inlineStr">
        <is>
          <t>17 (15/19)</t>
        </is>
      </c>
      <c r="P238" s="4" t="inlineStr">
        <is>
          <t>N/A</t>
        </is>
      </c>
      <c r="Q238" s="9" t="inlineStr">
        <is>
          <t>N/A</t>
        </is>
      </c>
      <c r="R238" s="4" t="n">
        <v>2</v>
      </c>
      <c r="S238" s="10" t="n">
        <v>5.3</v>
      </c>
      <c r="T238" s="4" t="inlineStr">
        <is>
          <t>N/A</t>
        </is>
      </c>
      <c r="U238" s="29" t="inlineStr">
        <is>
          <t>10/10</t>
        </is>
      </c>
      <c r="V238" s="12" t="inlineStr">
        <is>
          <t xml:space="preserve"> • Refined performance and chassis poise
 • Comfortable ergonomic cabin
 • Comprehensive safety suite</t>
        </is>
      </c>
      <c r="W238" s="13" t="inlineStr">
        <is>
          <t xml:space="preserve"> • Firm ride on optional large wheels
 • Option packages add up quickly
 • Infotainment learning curve</t>
        </is>
      </c>
      <c r="X238" s="14" t="inlineStr">
        <is>
          <t>A solid, well-rounded contender in the US supercar class with competitive dynamics.</t>
        </is>
      </c>
      <c r="Y238" s="15" t="inlineStr">
        <is>
          <t>https://hips.hearstapps.com/hmg-prod/images/2026-mclaren-750s.jpg</t>
        </is>
      </c>
      <c r="Z238" s="15" t="inlineStr">
        <is>
          <t>https://www.caranddriver.com/mclaren/750s</t>
        </is>
      </c>
      <c r="AA238" s="5" t="inlineStr">
        <is>
          <t>Car and Driver Editors' Choice</t>
        </is>
      </c>
    </row>
    <row r="239" ht="48" customHeight="1">
      <c r="A239" s="16" t="n">
        <v>2026</v>
      </c>
      <c r="B239" s="17" t="inlineStr">
        <is>
          <t>McLaren</t>
        </is>
      </c>
      <c r="C239" s="17" t="inlineStr">
        <is>
          <t>W1</t>
        </is>
      </c>
      <c r="D239" s="17" t="inlineStr">
        <is>
          <t>Coupe Base</t>
        </is>
      </c>
      <c r="E239" s="17" t="inlineStr">
        <is>
          <t>Flagship Ultimate Hypercar</t>
        </is>
      </c>
      <c r="F239" s="17" t="inlineStr">
        <is>
          <t>PHEV</t>
        </is>
      </c>
      <c r="G239" s="18" t="n">
        <v>2100000</v>
      </c>
      <c r="H239" s="19" t="n">
        <v>1258</v>
      </c>
      <c r="I239" s="19" t="n">
        <v>988</v>
      </c>
      <c r="J239" s="17" t="inlineStr">
        <is>
          <t>4.0L Twin-Turbo V8 + Motor</t>
        </is>
      </c>
      <c r="K239" s="20" t="n">
        <v>4</v>
      </c>
      <c r="L239" s="16" t="n">
        <v>8</v>
      </c>
      <c r="M239" s="17" t="inlineStr">
        <is>
          <t>8-Speed Dual-Clutch</t>
        </is>
      </c>
      <c r="N239" s="16" t="inlineStr">
        <is>
          <t>RWD</t>
        </is>
      </c>
      <c r="O239" s="16" t="inlineStr">
        <is>
          <t>16 MPGe (Est)</t>
        </is>
      </c>
      <c r="P239" s="16" t="inlineStr">
        <is>
          <t>2</t>
        </is>
      </c>
      <c r="Q239" s="22" t="n">
        <v>1.4</v>
      </c>
      <c r="R239" s="16" t="n">
        <v>2</v>
      </c>
      <c r="S239" s="22" t="n">
        <v>4</v>
      </c>
      <c r="T239" s="16" t="inlineStr">
        <is>
          <t>N/A</t>
        </is>
      </c>
      <c r="U239" s="23" t="inlineStr">
        <is>
          <t>10/10</t>
        </is>
      </c>
      <c r="V239" s="24" t="inlineStr">
        <is>
          <t xml:space="preserve"> • Superb real-world fuel economy
 • Smooth electric-gas power handover
 • No range anxiety on long trips</t>
        </is>
      </c>
      <c r="W239" s="25" t="inlineStr">
        <is>
          <t xml:space="preserve"> • Added curb weight from battery packs
 • Slightly compromised cargo space
 • eCVT engine flare during passing</t>
        </is>
      </c>
      <c r="X239" s="26" t="inlineStr">
        <is>
          <t>A finely engineered phev flagship ultimate hypercar striking the optimal balance between high efficiency and long-distance practicality.</t>
        </is>
      </c>
      <c r="Y239" s="27" t="inlineStr">
        <is>
          <t>https://hips.hearstapps.com/hmg-prod/images/2026-mclaren-w1.jpg</t>
        </is>
      </c>
      <c r="Z239" s="27" t="inlineStr">
        <is>
          <t>https://www.caranddriver.com/mclaren/w1</t>
        </is>
      </c>
      <c r="AA239" s="17" t="inlineStr">
        <is>
          <t>Car and Driver First Look</t>
        </is>
      </c>
    </row>
    <row r="240" ht="48" customHeight="1">
      <c r="A240" s="4" t="n">
        <v>2026</v>
      </c>
      <c r="B240" s="5" t="inlineStr">
        <is>
          <t>Mercedes-Benz</t>
        </is>
      </c>
      <c r="C240" s="5" t="inlineStr">
        <is>
          <t>CLA-Class</t>
        </is>
      </c>
      <c r="D240" s="5" t="inlineStr">
        <is>
          <t>AMG CLA45 S</t>
        </is>
      </c>
      <c r="E240" s="5" t="inlineStr">
        <is>
          <t>Subcompact Sport 4-Door</t>
        </is>
      </c>
      <c r="F240" s="5" t="inlineStr">
        <is>
          <t>Gasoline</t>
        </is>
      </c>
      <c r="G240" s="6" t="n">
        <v>66500</v>
      </c>
      <c r="H240" s="7" t="n">
        <v>416</v>
      </c>
      <c r="I240" s="7" t="n">
        <v>369</v>
      </c>
      <c r="J240" s="5" t="inlineStr">
        <is>
          <t>2.0L Turbo Handcrafted M139 I4</t>
        </is>
      </c>
      <c r="K240" s="8" t="n">
        <v>2</v>
      </c>
      <c r="L240" s="4" t="n">
        <v>4</v>
      </c>
      <c r="M240" s="5" t="inlineStr">
        <is>
          <t>8-Speed Dual-Clutch</t>
        </is>
      </c>
      <c r="N240" s="4" t="inlineStr">
        <is>
          <t>AMG 4MATIC+</t>
        </is>
      </c>
      <c r="O240" s="4" t="inlineStr">
        <is>
          <t>23 (20/28)</t>
        </is>
      </c>
      <c r="P240" s="4" t="inlineStr">
        <is>
          <t>N/A</t>
        </is>
      </c>
      <c r="Q240" s="9" t="inlineStr">
        <is>
          <t>N/A</t>
        </is>
      </c>
      <c r="R240" s="4" t="n">
        <v>5</v>
      </c>
      <c r="S240" s="10" t="n">
        <v>11.6</v>
      </c>
      <c r="T240" s="4" t="inlineStr">
        <is>
          <t>N/A</t>
        </is>
      </c>
      <c r="U240" s="11" t="inlineStr">
        <is>
          <t>9.0/10</t>
        </is>
      </c>
      <c r="V240" s="12" t="inlineStr">
        <is>
          <t xml:space="preserve"> • Refined performance and chassis poise
 • Comfortable ergonomic cabin
 • Comprehensive safety suite</t>
        </is>
      </c>
      <c r="W240" s="13" t="inlineStr">
        <is>
          <t xml:space="preserve"> • Firm ride on optional large wheels
 • Option packages add up quickly
 • Infotainment learning curve</t>
        </is>
      </c>
      <c r="X240" s="14" t="inlineStr">
        <is>
          <t>A solid, well-rounded contender in the US subcompact sport 4-door class with competitive dynamics.</t>
        </is>
      </c>
      <c r="Y240" s="15" t="inlineStr">
        <is>
          <t>https://hips.hearstapps.com/hmg-prod/images/2026-mercedes-benz-cla-class.jpg</t>
        </is>
      </c>
      <c r="Z240" s="15" t="inlineStr">
        <is>
          <t>https://www.caranddriver.com/mercedes-amg/cla45</t>
        </is>
      </c>
      <c r="AA240" s="5" t="inlineStr">
        <is>
          <t>Car and Driver Editors' Choice</t>
        </is>
      </c>
    </row>
    <row r="241" ht="48" customHeight="1">
      <c r="A241" s="16" t="n">
        <v>2026</v>
      </c>
      <c r="B241" s="17" t="inlineStr">
        <is>
          <t>Mercedes-Benz</t>
        </is>
      </c>
      <c r="C241" s="17" t="inlineStr">
        <is>
          <t>C-Class</t>
        </is>
      </c>
      <c r="D241" s="17" t="inlineStr">
        <is>
          <t>C300 4MATIC Sedan</t>
        </is>
      </c>
      <c r="E241" s="17" t="inlineStr">
        <is>
          <t>Compact Executive Sedan</t>
        </is>
      </c>
      <c r="F241" s="17" t="inlineStr">
        <is>
          <t>Mild Hybrid</t>
        </is>
      </c>
      <c r="G241" s="18" t="n">
        <v>49500</v>
      </c>
      <c r="H241" s="19" t="n">
        <v>255</v>
      </c>
      <c r="I241" s="19" t="n">
        <v>295</v>
      </c>
      <c r="J241" s="17" t="inlineStr">
        <is>
          <t>2.0L Turbo I4 48V</t>
        </is>
      </c>
      <c r="K241" s="20" t="n">
        <v>2</v>
      </c>
      <c r="L241" s="16" t="n">
        <v>4</v>
      </c>
      <c r="M241" s="17" t="inlineStr">
        <is>
          <t>9-Speed 9G-TRONIC</t>
        </is>
      </c>
      <c r="N241" s="16" t="inlineStr">
        <is>
          <t>4MATIC AWD</t>
        </is>
      </c>
      <c r="O241" s="16" t="inlineStr">
        <is>
          <t>27 (24/33)</t>
        </is>
      </c>
      <c r="P241" s="16" t="inlineStr">
        <is>
          <t>N/A</t>
        </is>
      </c>
      <c r="Q241" s="21" t="inlineStr">
        <is>
          <t>N/A</t>
        </is>
      </c>
      <c r="R241" s="16" t="n">
        <v>5</v>
      </c>
      <c r="S241" s="22" t="n">
        <v>12.6</v>
      </c>
      <c r="T241" s="16" t="inlineStr">
        <is>
          <t>N/A</t>
        </is>
      </c>
      <c r="U241" s="28" t="inlineStr">
        <is>
          <t>9.0/10</t>
        </is>
      </c>
      <c r="V241" s="24" t="inlineStr">
        <is>
          <t xml:space="preserve"> • Superb real-world fuel economy
 • Smooth electric-gas power handover
 • No range anxiety on long trips</t>
        </is>
      </c>
      <c r="W241" s="25" t="inlineStr">
        <is>
          <t xml:space="preserve"> • Added curb weight from battery packs
 • Slightly compromised cargo space
 • eCVT engine flare during passing</t>
        </is>
      </c>
      <c r="X241" s="26" t="inlineStr">
        <is>
          <t>A finely engineered mild hybrid compact executive sedan striking the optimal balance between high efficiency and long-distance practicality.</t>
        </is>
      </c>
      <c r="Y241" s="27" t="inlineStr">
        <is>
          <t>https://hips.hearstapps.com/hmg-prod/images/2026-mercedes-benz-c-class.jpg</t>
        </is>
      </c>
      <c r="Z241" s="27" t="inlineStr">
        <is>
          <t>https://www.caranddriver.com/mercedes-benz/c-class</t>
        </is>
      </c>
      <c r="AA241" s="17" t="inlineStr">
        <is>
          <t>Car and Driver Buyer's Guide</t>
        </is>
      </c>
    </row>
    <row r="242" ht="48" customHeight="1">
      <c r="A242" s="4" t="n">
        <v>2026</v>
      </c>
      <c r="B242" s="5" t="inlineStr">
        <is>
          <t>Mercedes-Benz</t>
        </is>
      </c>
      <c r="C242" s="5" t="inlineStr">
        <is>
          <t>C-Class</t>
        </is>
      </c>
      <c r="D242" s="5" t="inlineStr">
        <is>
          <t>AMG C63 S E-Performance</t>
        </is>
      </c>
      <c r="E242" s="5" t="inlineStr">
        <is>
          <t>Super Sedan</t>
        </is>
      </c>
      <c r="F242" s="5" t="inlineStr">
        <is>
          <t>PHEV</t>
        </is>
      </c>
      <c r="G242" s="6" t="n">
        <v>85000</v>
      </c>
      <c r="H242" s="7" t="n">
        <v>671</v>
      </c>
      <c r="I242" s="7" t="n">
        <v>752</v>
      </c>
      <c r="J242" s="5" t="inlineStr">
        <is>
          <t>2.0L Turbo Handcrafted + Rear Motor</t>
        </is>
      </c>
      <c r="K242" s="8" t="n">
        <v>2</v>
      </c>
      <c r="L242" s="4" t="n">
        <v>4</v>
      </c>
      <c r="M242" s="5" t="inlineStr">
        <is>
          <t>9-Speed Multi-Clutch</t>
        </is>
      </c>
      <c r="N242" s="4" t="inlineStr">
        <is>
          <t>AMG 4MATIC+</t>
        </is>
      </c>
      <c r="O242" s="4" t="inlineStr">
        <is>
          <t>40 MPGe / 23 Comb</t>
        </is>
      </c>
      <c r="P242" s="4" t="inlineStr">
        <is>
          <t>8</t>
        </is>
      </c>
      <c r="Q242" s="10" t="n">
        <v>6.1</v>
      </c>
      <c r="R242" s="4" t="n">
        <v>5</v>
      </c>
      <c r="S242" s="10" t="n">
        <v>10.2</v>
      </c>
      <c r="T242" s="4" t="inlineStr">
        <is>
          <t>N/A</t>
        </is>
      </c>
      <c r="U242" s="11" t="inlineStr">
        <is>
          <t>8.5/10</t>
        </is>
      </c>
      <c r="V242" s="12" t="inlineStr">
        <is>
          <t xml:space="preserve"> • Superb real-world fuel economy
 • Smooth electric-gas power handover
 • No range anxiety on long trips</t>
        </is>
      </c>
      <c r="W242" s="13" t="inlineStr">
        <is>
          <t xml:space="preserve"> • Added curb weight from battery packs
 • Slightly compromised cargo space
 • eCVT engine flare during passing</t>
        </is>
      </c>
      <c r="X242" s="14" t="inlineStr">
        <is>
          <t>A finely engineered phev super sedan striking the optimal balance between high efficiency and long-distance practicality.</t>
        </is>
      </c>
      <c r="Y242" s="15" t="inlineStr">
        <is>
          <t>https://hips.hearstapps.com/hmg-prod/images/2026-mercedes-benz-c-class.jpg</t>
        </is>
      </c>
      <c r="Z242" s="15" t="inlineStr">
        <is>
          <t>https://www.caranddriver.com/mercedes-amg/c63</t>
        </is>
      </c>
      <c r="AA242" s="5" t="inlineStr">
        <is>
          <t>Car and Driver Tested</t>
        </is>
      </c>
    </row>
    <row r="243" ht="48" customHeight="1">
      <c r="A243" s="16" t="n">
        <v>2026</v>
      </c>
      <c r="B243" s="17" t="inlineStr">
        <is>
          <t>Mercedes-Benz</t>
        </is>
      </c>
      <c r="C243" s="17" t="inlineStr">
        <is>
          <t>CLE-Class</t>
        </is>
      </c>
      <c r="D243" s="17" t="inlineStr">
        <is>
          <t>AMG CLE53 Coupe</t>
        </is>
      </c>
      <c r="E243" s="17" t="inlineStr">
        <is>
          <t>Luxury Sport Coupe</t>
        </is>
      </c>
      <c r="F243" s="17" t="inlineStr">
        <is>
          <t>Mild Hybrid</t>
        </is>
      </c>
      <c r="G243" s="18" t="n">
        <v>73900</v>
      </c>
      <c r="H243" s="19" t="n">
        <v>443</v>
      </c>
      <c r="I243" s="19" t="n">
        <v>413</v>
      </c>
      <c r="J243" s="17" t="inlineStr">
        <is>
          <t>3.0L Turbo I6 w/ e-Supercharger</t>
        </is>
      </c>
      <c r="K243" s="20" t="n">
        <v>3</v>
      </c>
      <c r="L243" s="16" t="n">
        <v>6</v>
      </c>
      <c r="M243" s="17" t="inlineStr">
        <is>
          <t>9-Speed AMG SPEEDSHIFT</t>
        </is>
      </c>
      <c r="N243" s="16" t="inlineStr">
        <is>
          <t>4MATIC+ AWD</t>
        </is>
      </c>
      <c r="O243" s="16" t="inlineStr">
        <is>
          <t>23 (20/27)</t>
        </is>
      </c>
      <c r="P243" s="16" t="inlineStr">
        <is>
          <t>N/A</t>
        </is>
      </c>
      <c r="Q243" s="21" t="inlineStr">
        <is>
          <t>N/A</t>
        </is>
      </c>
      <c r="R243" s="16" t="n">
        <v>4</v>
      </c>
      <c r="S243" s="22" t="n">
        <v>14.8</v>
      </c>
      <c r="T243" s="16" t="inlineStr">
        <is>
          <t>N/A</t>
        </is>
      </c>
      <c r="U243" s="28" t="inlineStr">
        <is>
          <t>9.0/10</t>
        </is>
      </c>
      <c r="V243" s="24" t="inlineStr">
        <is>
          <t xml:space="preserve"> • Superb real-world fuel economy
 • Smooth electric-gas power handover
 • No range anxiety on long trips</t>
        </is>
      </c>
      <c r="W243" s="25" t="inlineStr">
        <is>
          <t xml:space="preserve"> • Added curb weight from battery packs
 • Slightly compromised cargo space
 • eCVT engine flare during passing</t>
        </is>
      </c>
      <c r="X243" s="26" t="inlineStr">
        <is>
          <t>A finely engineered mild hybrid luxury sport coupe striking the optimal balance between high efficiency and long-distance practicality.</t>
        </is>
      </c>
      <c r="Y243" s="27" t="inlineStr">
        <is>
          <t>https://hips.hearstapps.com/hmg-prod/images/2026-mercedes-benz-cle-class.jpg</t>
        </is>
      </c>
      <c r="Z243" s="27" t="inlineStr">
        <is>
          <t>https://www.caranddriver.com/mercedes-amg/cle53</t>
        </is>
      </c>
      <c r="AA243" s="17" t="inlineStr">
        <is>
          <t>Car and Driver First Drive</t>
        </is>
      </c>
    </row>
    <row r="244" ht="48" customHeight="1">
      <c r="A244" s="4" t="n">
        <v>2026</v>
      </c>
      <c r="B244" s="5" t="inlineStr">
        <is>
          <t>Mercedes-Benz</t>
        </is>
      </c>
      <c r="C244" s="5" t="inlineStr">
        <is>
          <t>E-Class</t>
        </is>
      </c>
      <c r="D244" s="5" t="inlineStr">
        <is>
          <t>E450 4MATIC Sedan</t>
        </is>
      </c>
      <c r="E244" s="5" t="inlineStr">
        <is>
          <t>Executive Luxury Sedan</t>
        </is>
      </c>
      <c r="F244" s="5" t="inlineStr">
        <is>
          <t>Mild Hybrid</t>
        </is>
      </c>
      <c r="G244" s="6" t="n">
        <v>72000</v>
      </c>
      <c r="H244" s="7" t="n">
        <v>375</v>
      </c>
      <c r="I244" s="7" t="n">
        <v>369</v>
      </c>
      <c r="J244" s="5" t="inlineStr">
        <is>
          <t>3.0L Turbo I6 48V</t>
        </is>
      </c>
      <c r="K244" s="8" t="n">
        <v>3</v>
      </c>
      <c r="L244" s="4" t="n">
        <v>6</v>
      </c>
      <c r="M244" s="5" t="inlineStr">
        <is>
          <t>9-Speed 9G-TRONIC</t>
        </is>
      </c>
      <c r="N244" s="4" t="inlineStr">
        <is>
          <t>4MATIC AWD</t>
        </is>
      </c>
      <c r="O244" s="4" t="inlineStr">
        <is>
          <t>25 (22/31)</t>
        </is>
      </c>
      <c r="P244" s="4" t="inlineStr">
        <is>
          <t>N/A</t>
        </is>
      </c>
      <c r="Q244" s="9" t="inlineStr">
        <is>
          <t>N/A</t>
        </is>
      </c>
      <c r="R244" s="4" t="n">
        <v>5</v>
      </c>
      <c r="S244" s="10" t="n">
        <v>19</v>
      </c>
      <c r="T244" s="4" t="inlineStr">
        <is>
          <t>N/A</t>
        </is>
      </c>
      <c r="U244" s="29" t="inlineStr">
        <is>
          <t>10/10</t>
        </is>
      </c>
      <c r="V244" s="12" t="inlineStr">
        <is>
          <t xml:space="preserve"> • Superb real-world fuel economy
 • Smooth electric-gas power handover
 • No range anxiety on long trips</t>
        </is>
      </c>
      <c r="W244" s="13" t="inlineStr">
        <is>
          <t xml:space="preserve"> • Added curb weight from battery packs
 • Slightly compromised cargo space
 • eCVT engine flare during passing</t>
        </is>
      </c>
      <c r="X244" s="14" t="inlineStr">
        <is>
          <t>A finely engineered mild hybrid executive luxury sedan striking the optimal balance between high efficiency and long-distance practicality.</t>
        </is>
      </c>
      <c r="Y244" s="15" t="inlineStr">
        <is>
          <t>https://hips.hearstapps.com/hmg-prod/images/2026-mercedes-benz-e-class.jpg</t>
        </is>
      </c>
      <c r="Z244" s="15" t="inlineStr">
        <is>
          <t>https://www.caranddriver.com/mercedes-benz/e-class</t>
        </is>
      </c>
      <c r="AA244" s="5" t="inlineStr">
        <is>
          <t>Car and Driver 10Best Winner</t>
        </is>
      </c>
    </row>
    <row r="245" ht="48" customHeight="1">
      <c r="A245" s="16" t="n">
        <v>2026</v>
      </c>
      <c r="B245" s="17" t="inlineStr">
        <is>
          <t>Mercedes-Benz</t>
        </is>
      </c>
      <c r="C245" s="17" t="inlineStr">
        <is>
          <t>E-Class All-Terrain</t>
        </is>
      </c>
      <c r="D245" s="17" t="inlineStr">
        <is>
          <t>E450 4MATIC Wagon</t>
        </is>
      </c>
      <c r="E245" s="17" t="inlineStr">
        <is>
          <t>Luxury Rugged Wagon</t>
        </is>
      </c>
      <c r="F245" s="17" t="inlineStr">
        <is>
          <t>Mild Hybrid</t>
        </is>
      </c>
      <c r="G245" s="18" t="n">
        <v>76000</v>
      </c>
      <c r="H245" s="19" t="n">
        <v>375</v>
      </c>
      <c r="I245" s="19" t="n">
        <v>369</v>
      </c>
      <c r="J245" s="17" t="inlineStr">
        <is>
          <t>3.0L Turbo I6 48V</t>
        </is>
      </c>
      <c r="K245" s="20" t="n">
        <v>3</v>
      </c>
      <c r="L245" s="16" t="n">
        <v>6</v>
      </c>
      <c r="M245" s="17" t="inlineStr">
        <is>
          <t>9-Speed 9G-TRONIC</t>
        </is>
      </c>
      <c r="N245" s="16" t="inlineStr">
        <is>
          <t>4MATIC AWD</t>
        </is>
      </c>
      <c r="O245" s="16" t="inlineStr">
        <is>
          <t>25 (22/31)</t>
        </is>
      </c>
      <c r="P245" s="16" t="inlineStr">
        <is>
          <t>N/A</t>
        </is>
      </c>
      <c r="Q245" s="21" t="inlineStr">
        <is>
          <t>N/A</t>
        </is>
      </c>
      <c r="R245" s="16" t="n">
        <v>5</v>
      </c>
      <c r="S245" s="22" t="n">
        <v>21.7</v>
      </c>
      <c r="T245" s="16" t="inlineStr">
        <is>
          <t>N/A</t>
        </is>
      </c>
      <c r="U245" s="23" t="inlineStr">
        <is>
          <t>9.5/10</t>
        </is>
      </c>
      <c r="V245" s="24" t="inlineStr">
        <is>
          <t xml:space="preserve"> • Superb real-world fuel economy
 • Smooth electric-gas power handover
 • No range anxiety on long trips</t>
        </is>
      </c>
      <c r="W245" s="25" t="inlineStr">
        <is>
          <t xml:space="preserve"> • Added curb weight from battery packs
 • Slightly compromised cargo space
 • eCVT engine flare during passing</t>
        </is>
      </c>
      <c r="X245" s="26" t="inlineStr">
        <is>
          <t>A finely engineered mild hybrid luxury rugged wagon striking the optimal balance between high efficiency and long-distance practicality.</t>
        </is>
      </c>
      <c r="Y245" s="27" t="inlineStr">
        <is>
          <t>https://hips.hearstapps.com/hmg-prod/images/2026-mercedes-benz-e-class-all-terrain.jpg</t>
        </is>
      </c>
      <c r="Z245" s="27" t="inlineStr">
        <is>
          <t>https://www.caranddriver.com/mercedes-benz/e-class-all-terrain</t>
        </is>
      </c>
      <c r="AA245" s="17" t="inlineStr">
        <is>
          <t>Car and Driver 10Best</t>
        </is>
      </c>
    </row>
    <row r="246" ht="48" customHeight="1">
      <c r="A246" s="4" t="n">
        <v>2026</v>
      </c>
      <c r="B246" s="5" t="inlineStr">
        <is>
          <t>Mercedes-Benz</t>
        </is>
      </c>
      <c r="C246" s="5" t="inlineStr">
        <is>
          <t>EQE Sedan</t>
        </is>
      </c>
      <c r="D246" s="5" t="inlineStr">
        <is>
          <t>AMG EQE AWD</t>
        </is>
      </c>
      <c r="E246" s="5" t="inlineStr">
        <is>
          <t>Performance EV Sedan</t>
        </is>
      </c>
      <c r="F246" s="5" t="inlineStr">
        <is>
          <t>Electric</t>
        </is>
      </c>
      <c r="G246" s="6" t="n">
        <v>108000</v>
      </c>
      <c r="H246" s="7" t="n">
        <v>677</v>
      </c>
      <c r="I246" s="7" t="n">
        <v>738</v>
      </c>
      <c r="J246" s="5" t="inlineStr">
        <is>
          <t>Dual AMG Electric Motors</t>
        </is>
      </c>
      <c r="K246" s="4" t="inlineStr">
        <is>
          <t>N/A</t>
        </is>
      </c>
      <c r="L246" s="4" t="n">
        <v>0</v>
      </c>
      <c r="M246" s="5" t="inlineStr">
        <is>
          <t>1-Speed Direct</t>
        </is>
      </c>
      <c r="N246" s="4" t="inlineStr">
        <is>
          <t>4MATIC+ AWD</t>
        </is>
      </c>
      <c r="O246" s="4" t="inlineStr">
        <is>
          <t>73 MPGe</t>
        </is>
      </c>
      <c r="P246" s="4" t="inlineStr">
        <is>
          <t>230</t>
        </is>
      </c>
      <c r="Q246" s="10" t="n">
        <v>90.59999999999999</v>
      </c>
      <c r="R246" s="4" t="n">
        <v>5</v>
      </c>
      <c r="S246" s="10" t="n">
        <v>15</v>
      </c>
      <c r="T246" s="4" t="inlineStr">
        <is>
          <t>N/A</t>
        </is>
      </c>
      <c r="U246" s="11" t="inlineStr">
        <is>
          <t>8.5/10</t>
        </is>
      </c>
      <c r="V246" s="12" t="inlineStr">
        <is>
          <t xml:space="preserve"> • Silent, instantaneous acceleration
 • Low center of gravity enhances stability
 • Zero tailpipe emissions</t>
        </is>
      </c>
      <c r="W246" s="13" t="inlineStr">
        <is>
          <t xml:space="preserve"> • Highway range drops at sustained speed
 • Public charging network variability
 • Pricier initial purchase cost</t>
        </is>
      </c>
      <c r="X246" s="14" t="inlineStr">
        <is>
          <t>A compelling electric entry in the performance ev sedan segment offering smooth power delivery and advanced tech.</t>
        </is>
      </c>
      <c r="Y246" s="15" t="inlineStr">
        <is>
          <t>https://hips.hearstapps.com/hmg-prod/images/2026-mercedes-benz-eqe-sedan.jpg</t>
        </is>
      </c>
      <c r="Z246" s="15" t="inlineStr">
        <is>
          <t>https://www.caranddriver.com/mercedes-amg/eqe</t>
        </is>
      </c>
      <c r="AA246" s="5" t="inlineStr">
        <is>
          <t>Car and Driver Review</t>
        </is>
      </c>
    </row>
    <row r="247" ht="48" customHeight="1">
      <c r="A247" s="16" t="n">
        <v>2026</v>
      </c>
      <c r="B247" s="17" t="inlineStr">
        <is>
          <t>Mercedes-Benz</t>
        </is>
      </c>
      <c r="C247" s="17" t="inlineStr">
        <is>
          <t>S-Class</t>
        </is>
      </c>
      <c r="D247" s="17" t="inlineStr">
        <is>
          <t>S580 4MATIC Sedan</t>
        </is>
      </c>
      <c r="E247" s="17" t="inlineStr">
        <is>
          <t>Full-Size Luxury Sedan</t>
        </is>
      </c>
      <c r="F247" s="17" t="inlineStr">
        <is>
          <t>Mild Hybrid</t>
        </is>
      </c>
      <c r="G247" s="18" t="n">
        <v>129000</v>
      </c>
      <c r="H247" s="19" t="n">
        <v>496</v>
      </c>
      <c r="I247" s="19" t="n">
        <v>516</v>
      </c>
      <c r="J247" s="17" t="inlineStr">
        <is>
          <t>4.0L Biturbo V8 48V</t>
        </is>
      </c>
      <c r="K247" s="20" t="n">
        <v>4</v>
      </c>
      <c r="L247" s="16" t="n">
        <v>8</v>
      </c>
      <c r="M247" s="17" t="inlineStr">
        <is>
          <t>9-Speed 9G-TRONIC</t>
        </is>
      </c>
      <c r="N247" s="16" t="inlineStr">
        <is>
          <t>4MATIC AWD</t>
        </is>
      </c>
      <c r="O247" s="16" t="inlineStr">
        <is>
          <t>21 (18/27)</t>
        </is>
      </c>
      <c r="P247" s="16" t="inlineStr">
        <is>
          <t>N/A</t>
        </is>
      </c>
      <c r="Q247" s="21" t="inlineStr">
        <is>
          <t>N/A</t>
        </is>
      </c>
      <c r="R247" s="16" t="n">
        <v>5</v>
      </c>
      <c r="S247" s="22" t="n">
        <v>19</v>
      </c>
      <c r="T247" s="16" t="inlineStr">
        <is>
          <t>N/A</t>
        </is>
      </c>
      <c r="U247" s="23" t="inlineStr">
        <is>
          <t>9.5/10</t>
        </is>
      </c>
      <c r="V247" s="24" t="inlineStr">
        <is>
          <t xml:space="preserve"> • Superb real-world fuel economy
 • Smooth electric-gas power handover
 • No range anxiety on long trips</t>
        </is>
      </c>
      <c r="W247" s="25" t="inlineStr">
        <is>
          <t xml:space="preserve"> • Added curb weight from battery packs
 • Slightly compromised cargo space
 • eCVT engine flare during passing</t>
        </is>
      </c>
      <c r="X247" s="26" t="inlineStr">
        <is>
          <t>A finely engineered mild hybrid full-size luxury sedan striking the optimal balance between high efficiency and long-distance practicality.</t>
        </is>
      </c>
      <c r="Y247" s="27" t="inlineStr">
        <is>
          <t>https://hips.hearstapps.com/hmg-prod/images/2026-mercedes-benz-s-class.jpg</t>
        </is>
      </c>
      <c r="Z247" s="27" t="inlineStr">
        <is>
          <t>https://www.caranddriver.com/mercedes-benz/s-class</t>
        </is>
      </c>
      <c r="AA247" s="17" t="inlineStr">
        <is>
          <t>Car and Driver Editors' Choice</t>
        </is>
      </c>
    </row>
    <row r="248" ht="48" customHeight="1">
      <c r="A248" s="4" t="n">
        <v>2026</v>
      </c>
      <c r="B248" s="5" t="inlineStr">
        <is>
          <t>Mercedes-Benz</t>
        </is>
      </c>
      <c r="C248" s="5" t="inlineStr">
        <is>
          <t>S-Class</t>
        </is>
      </c>
      <c r="D248" s="5" t="inlineStr">
        <is>
          <t>Maybach S680 4MATIC</t>
        </is>
      </c>
      <c r="E248" s="5" t="inlineStr">
        <is>
          <t>Ultra-Luxury Flagship</t>
        </is>
      </c>
      <c r="F248" s="5" t="inlineStr">
        <is>
          <t>Gasoline</t>
        </is>
      </c>
      <c r="G248" s="6" t="n">
        <v>235000</v>
      </c>
      <c r="H248" s="7" t="n">
        <v>621</v>
      </c>
      <c r="I248" s="7" t="n">
        <v>664</v>
      </c>
      <c r="J248" s="5" t="inlineStr">
        <is>
          <t>6.0L Biturbo V12</t>
        </is>
      </c>
      <c r="K248" s="8" t="n">
        <v>6</v>
      </c>
      <c r="L248" s="4" t="n">
        <v>12</v>
      </c>
      <c r="M248" s="5" t="inlineStr">
        <is>
          <t>9-Speed Auto</t>
        </is>
      </c>
      <c r="N248" s="4" t="inlineStr">
        <is>
          <t>4MATIC AWD</t>
        </is>
      </c>
      <c r="O248" s="4" t="inlineStr">
        <is>
          <t>14 (12/20)</t>
        </is>
      </c>
      <c r="P248" s="4" t="inlineStr">
        <is>
          <t>N/A</t>
        </is>
      </c>
      <c r="Q248" s="9" t="inlineStr">
        <is>
          <t>N/A</t>
        </is>
      </c>
      <c r="R248" s="4" t="n">
        <v>4</v>
      </c>
      <c r="S248" s="10" t="n">
        <v>18</v>
      </c>
      <c r="T248" s="4" t="inlineStr">
        <is>
          <t>N/A</t>
        </is>
      </c>
      <c r="U248" s="29" t="inlineStr">
        <is>
          <t>9.5/10</t>
        </is>
      </c>
      <c r="V248" s="12" t="inlineStr">
        <is>
          <t xml:space="preserve"> • Refined performance and chassis poise
 • Comfortable ergonomic cabin
 • Comprehensive safety suite</t>
        </is>
      </c>
      <c r="W248" s="13" t="inlineStr">
        <is>
          <t xml:space="preserve"> • Firm ride on optional large wheels
 • Option packages add up quickly
 • Infotainment learning curve</t>
        </is>
      </c>
      <c r="X248" s="14" t="inlineStr">
        <is>
          <t>A solid, well-rounded contender in the US ultra-luxury flagship class with competitive dynamics.</t>
        </is>
      </c>
      <c r="Y248" s="15" t="inlineStr">
        <is>
          <t>https://hips.hearstapps.com/hmg-prod/images/2026-mercedes-benz-s-class.jpg</t>
        </is>
      </c>
      <c r="Z248" s="15" t="inlineStr">
        <is>
          <t>https://www.caranddriver.com/mercedes-maybach/s-class</t>
        </is>
      </c>
      <c r="AA248" s="5" t="inlineStr">
        <is>
          <t>Car and Driver Buyer's Guide</t>
        </is>
      </c>
    </row>
    <row r="249" ht="48" customHeight="1">
      <c r="A249" s="16" t="n">
        <v>2026</v>
      </c>
      <c r="B249" s="17" t="inlineStr">
        <is>
          <t>Mercedes-Benz</t>
        </is>
      </c>
      <c r="C249" s="17" t="inlineStr">
        <is>
          <t>EQS Sedan</t>
        </is>
      </c>
      <c r="D249" s="17" t="inlineStr">
        <is>
          <t>EQS 450+ Sedan</t>
        </is>
      </c>
      <c r="E249" s="17" t="inlineStr">
        <is>
          <t>Full-Size EV Luxury Sedan</t>
        </is>
      </c>
      <c r="F249" s="17" t="inlineStr">
        <is>
          <t>Electric</t>
        </is>
      </c>
      <c r="G249" s="18" t="n">
        <v>105000</v>
      </c>
      <c r="H249" s="19" t="n">
        <v>355</v>
      </c>
      <c r="I249" s="19" t="n">
        <v>419</v>
      </c>
      <c r="J249" s="17" t="inlineStr">
        <is>
          <t>Rear Electric Motor</t>
        </is>
      </c>
      <c r="K249" s="16" t="inlineStr">
        <is>
          <t>N/A</t>
        </is>
      </c>
      <c r="L249" s="16" t="n">
        <v>0</v>
      </c>
      <c r="M249" s="17" t="inlineStr">
        <is>
          <t>1-Speed Direct</t>
        </is>
      </c>
      <c r="N249" s="16" t="inlineStr">
        <is>
          <t>RWD</t>
        </is>
      </c>
      <c r="O249" s="16" t="inlineStr">
        <is>
          <t>96 MPGe</t>
        </is>
      </c>
      <c r="P249" s="16" t="inlineStr">
        <is>
          <t>352</t>
        </is>
      </c>
      <c r="Q249" s="22" t="n">
        <v>108.4</v>
      </c>
      <c r="R249" s="16" t="n">
        <v>5</v>
      </c>
      <c r="S249" s="22" t="n">
        <v>22</v>
      </c>
      <c r="T249" s="16" t="inlineStr">
        <is>
          <t>N/A</t>
        </is>
      </c>
      <c r="U249" s="28" t="inlineStr">
        <is>
          <t>8.5/10</t>
        </is>
      </c>
      <c r="V249" s="24" t="inlineStr">
        <is>
          <t xml:space="preserve"> • Silent, instantaneous acceleration
 • Low center of gravity enhances stability
 • Zero tailpipe emissions</t>
        </is>
      </c>
      <c r="W249" s="25" t="inlineStr">
        <is>
          <t xml:space="preserve"> • Highway range drops at sustained speed
 • Public charging network variability
 • Pricier initial purchase cost</t>
        </is>
      </c>
      <c r="X249" s="26" t="inlineStr">
        <is>
          <t>A compelling electric entry in the full-size ev luxury sedan segment offering smooth power delivery and advanced tech.</t>
        </is>
      </c>
      <c r="Y249" s="27" t="inlineStr">
        <is>
          <t>https://hips.hearstapps.com/hmg-prod/images/2026-mercedes-benz-eqs-sedan.jpg</t>
        </is>
      </c>
      <c r="Z249" s="27" t="inlineStr">
        <is>
          <t>https://www.caranddriver.com/mercedes-benz/eqs</t>
        </is>
      </c>
      <c r="AA249" s="17" t="inlineStr">
        <is>
          <t>Car and Driver Review</t>
        </is>
      </c>
    </row>
    <row r="250" ht="48" customHeight="1">
      <c r="A250" s="4" t="n">
        <v>2026</v>
      </c>
      <c r="B250" s="5" t="inlineStr">
        <is>
          <t>Mercedes-Benz</t>
        </is>
      </c>
      <c r="C250" s="5" t="inlineStr">
        <is>
          <t>AMG GT Coupe</t>
        </is>
      </c>
      <c r="D250" s="5" t="inlineStr">
        <is>
          <t>AMG GT63 Coupe</t>
        </is>
      </c>
      <c r="E250" s="5" t="inlineStr">
        <is>
          <t>Supercar GT</t>
        </is>
      </c>
      <c r="F250" s="5" t="inlineStr">
        <is>
          <t>Gasoline</t>
        </is>
      </c>
      <c r="G250" s="6" t="n">
        <v>178000</v>
      </c>
      <c r="H250" s="7" t="n">
        <v>577</v>
      </c>
      <c r="I250" s="7" t="n">
        <v>590</v>
      </c>
      <c r="J250" s="5" t="inlineStr">
        <is>
          <t>4.0L Biturbo V8</t>
        </is>
      </c>
      <c r="K250" s="8" t="n">
        <v>4</v>
      </c>
      <c r="L250" s="4" t="n">
        <v>8</v>
      </c>
      <c r="M250" s="5" t="inlineStr">
        <is>
          <t>9-Speed MCT</t>
        </is>
      </c>
      <c r="N250" s="4" t="inlineStr">
        <is>
          <t>AMG 4MATIC+</t>
        </is>
      </c>
      <c r="O250" s="4" t="inlineStr">
        <is>
          <t>16 (13/20)</t>
        </is>
      </c>
      <c r="P250" s="4" t="inlineStr">
        <is>
          <t>N/A</t>
        </is>
      </c>
      <c r="Q250" s="9" t="inlineStr">
        <is>
          <t>N/A</t>
        </is>
      </c>
      <c r="R250" s="4" t="n">
        <v>4</v>
      </c>
      <c r="S250" s="10" t="n">
        <v>11.3</v>
      </c>
      <c r="T250" s="4" t="inlineStr">
        <is>
          <t>N/A</t>
        </is>
      </c>
      <c r="U250" s="29" t="inlineStr">
        <is>
          <t>9.5/10</t>
        </is>
      </c>
      <c r="V250" s="12" t="inlineStr">
        <is>
          <t xml:space="preserve"> • Refined performance and chassis poise
 • Comfortable ergonomic cabin
 • Comprehensive safety suite</t>
        </is>
      </c>
      <c r="W250" s="13" t="inlineStr">
        <is>
          <t xml:space="preserve"> • Firm ride on optional large wheels
 • Option packages add up quickly
 • Infotainment learning curve</t>
        </is>
      </c>
      <c r="X250" s="14" t="inlineStr">
        <is>
          <t>A solid, well-rounded contender in the US supercar gt class with competitive dynamics.</t>
        </is>
      </c>
      <c r="Y250" s="15" t="inlineStr">
        <is>
          <t>https://hips.hearstapps.com/hmg-prod/images/2026-mercedes-benz-amg-gt-coupe.jpg</t>
        </is>
      </c>
      <c r="Z250" s="15" t="inlineStr">
        <is>
          <t>https://www.caranddriver.com/mercedes-amg/gt</t>
        </is>
      </c>
      <c r="AA250" s="5" t="inlineStr">
        <is>
          <t>Car and Driver First Drive</t>
        </is>
      </c>
    </row>
    <row r="251" ht="48" customHeight="1">
      <c r="A251" s="16" t="n">
        <v>2026</v>
      </c>
      <c r="B251" s="17" t="inlineStr">
        <is>
          <t>Mercedes-Benz</t>
        </is>
      </c>
      <c r="C251" s="17" t="inlineStr">
        <is>
          <t>SL-Class</t>
        </is>
      </c>
      <c r="D251" s="17" t="inlineStr">
        <is>
          <t>AMG SL63 Roadster</t>
        </is>
      </c>
      <c r="E251" s="17" t="inlineStr">
        <is>
          <t>Luxury Performance Convertible</t>
        </is>
      </c>
      <c r="F251" s="17" t="inlineStr">
        <is>
          <t>Gasoline</t>
        </is>
      </c>
      <c r="G251" s="18" t="n">
        <v>187000</v>
      </c>
      <c r="H251" s="19" t="n">
        <v>577</v>
      </c>
      <c r="I251" s="19" t="n">
        <v>590</v>
      </c>
      <c r="J251" s="17" t="inlineStr">
        <is>
          <t>4.0L Biturbo V8</t>
        </is>
      </c>
      <c r="K251" s="20" t="n">
        <v>4</v>
      </c>
      <c r="L251" s="16" t="n">
        <v>8</v>
      </c>
      <c r="M251" s="17" t="inlineStr">
        <is>
          <t>9-Speed MCT Auto</t>
        </is>
      </c>
      <c r="N251" s="16" t="inlineStr">
        <is>
          <t>AMG 4MATIC+</t>
        </is>
      </c>
      <c r="O251" s="16" t="inlineStr">
        <is>
          <t>16 (13/21)</t>
        </is>
      </c>
      <c r="P251" s="16" t="inlineStr">
        <is>
          <t>N/A</t>
        </is>
      </c>
      <c r="Q251" s="21" t="inlineStr">
        <is>
          <t>N/A</t>
        </is>
      </c>
      <c r="R251" s="16" t="n">
        <v>4</v>
      </c>
      <c r="S251" s="22" t="n">
        <v>7.5</v>
      </c>
      <c r="T251" s="16" t="inlineStr">
        <is>
          <t>N/A</t>
        </is>
      </c>
      <c r="U251" s="28" t="inlineStr">
        <is>
          <t>9.0/10</t>
        </is>
      </c>
      <c r="V251" s="24" t="inlineStr">
        <is>
          <t xml:space="preserve"> • Refined performance and chassis poise
 • Comfortable ergonomic cabin
 • Comprehensive safety suite</t>
        </is>
      </c>
      <c r="W251" s="25" t="inlineStr">
        <is>
          <t xml:space="preserve"> • Firm ride on optional large wheels
 • Option packages add up quickly
 • Infotainment learning curve</t>
        </is>
      </c>
      <c r="X251" s="26" t="inlineStr">
        <is>
          <t>A solid, well-rounded contender in the US luxury performance convertible class with competitive dynamics.</t>
        </is>
      </c>
      <c r="Y251" s="27" t="inlineStr">
        <is>
          <t>https://hips.hearstapps.com/hmg-prod/images/2026-mercedes-benz-sl-class.jpg</t>
        </is>
      </c>
      <c r="Z251" s="27" t="inlineStr">
        <is>
          <t>https://www.caranddriver.com/mercedes-amg/sl-class</t>
        </is>
      </c>
      <c r="AA251" s="17" t="inlineStr">
        <is>
          <t>Car and Driver Buyer's Guide</t>
        </is>
      </c>
    </row>
    <row r="252" ht="48" customHeight="1">
      <c r="A252" s="4" t="n">
        <v>2026</v>
      </c>
      <c r="B252" s="5" t="inlineStr">
        <is>
          <t>Mercedes-Benz</t>
        </is>
      </c>
      <c r="C252" s="5" t="inlineStr">
        <is>
          <t>GLA-Class</t>
        </is>
      </c>
      <c r="D252" s="5" t="inlineStr">
        <is>
          <t>AMG GLA45 S</t>
        </is>
      </c>
      <c r="E252" s="5" t="inlineStr">
        <is>
          <t>Subcompact Sport Crossover</t>
        </is>
      </c>
      <c r="F252" s="5" t="inlineStr">
        <is>
          <t>Gasoline</t>
        </is>
      </c>
      <c r="G252" s="6" t="n">
        <v>60000</v>
      </c>
      <c r="H252" s="7" t="n">
        <v>416</v>
      </c>
      <c r="I252" s="7" t="n">
        <v>369</v>
      </c>
      <c r="J252" s="5" t="inlineStr">
        <is>
          <t>2.0L Turbo M139 I4</t>
        </is>
      </c>
      <c r="K252" s="8" t="n">
        <v>2</v>
      </c>
      <c r="L252" s="4" t="n">
        <v>4</v>
      </c>
      <c r="M252" s="5" t="inlineStr">
        <is>
          <t>8-Speed Dual-Clutch</t>
        </is>
      </c>
      <c r="N252" s="4" t="inlineStr">
        <is>
          <t>4MATIC+ AWD</t>
        </is>
      </c>
      <c r="O252" s="4" t="inlineStr">
        <is>
          <t>22 (19/27)</t>
        </is>
      </c>
      <c r="P252" s="4" t="inlineStr">
        <is>
          <t>N/A</t>
        </is>
      </c>
      <c r="Q252" s="9" t="inlineStr">
        <is>
          <t>N/A</t>
        </is>
      </c>
      <c r="R252" s="4" t="n">
        <v>5</v>
      </c>
      <c r="S252" s="10" t="n">
        <v>15.4</v>
      </c>
      <c r="T252" s="4" t="inlineStr">
        <is>
          <t>N/A</t>
        </is>
      </c>
      <c r="U252" s="11" t="inlineStr">
        <is>
          <t>8.5/10</t>
        </is>
      </c>
      <c r="V252" s="12" t="inlineStr">
        <is>
          <t xml:space="preserve"> • Spacious passenger and cargo room
 • Commanding elevated driving position
 • Confidence-inspiring all-weather grip</t>
        </is>
      </c>
      <c r="W252" s="13" t="inlineStr">
        <is>
          <t xml:space="preserve"> • Higher center of gravity than sedans
 • Fuel consumption under heavy load
 • Less engaging steering feel</t>
        </is>
      </c>
      <c r="X252" s="14" t="inlineStr">
        <is>
          <t>A highly versatile subcompact sport crossover that delivers generous space, modern safety tech, and daily utility.</t>
        </is>
      </c>
      <c r="Y252" s="15" t="inlineStr">
        <is>
          <t>https://hips.hearstapps.com/hmg-prod/images/2026-mercedes-benz-gla-class.jpg</t>
        </is>
      </c>
      <c r="Z252" s="15" t="inlineStr">
        <is>
          <t>https://www.caranddriver.com/mercedes-amg/gla-class</t>
        </is>
      </c>
      <c r="AA252" s="5" t="inlineStr">
        <is>
          <t>Car and Driver Buyer's Guide</t>
        </is>
      </c>
    </row>
    <row r="253" ht="48" customHeight="1">
      <c r="A253" s="16" t="n">
        <v>2026</v>
      </c>
      <c r="B253" s="17" t="inlineStr">
        <is>
          <t>Mercedes-Benz</t>
        </is>
      </c>
      <c r="C253" s="17" t="inlineStr">
        <is>
          <t>GLB-Class</t>
        </is>
      </c>
      <c r="D253" s="17" t="inlineStr">
        <is>
          <t>GLB250 4MATIC</t>
        </is>
      </c>
      <c r="E253" s="17" t="inlineStr">
        <is>
          <t>Compact Box Crossover</t>
        </is>
      </c>
      <c r="F253" s="17" t="inlineStr">
        <is>
          <t>Mild Hybrid</t>
        </is>
      </c>
      <c r="G253" s="18" t="n">
        <v>46000</v>
      </c>
      <c r="H253" s="19" t="n">
        <v>221</v>
      </c>
      <c r="I253" s="19" t="n">
        <v>258</v>
      </c>
      <c r="J253" s="17" t="inlineStr">
        <is>
          <t>2.0L Turbo I4 48V</t>
        </is>
      </c>
      <c r="K253" s="20" t="n">
        <v>2</v>
      </c>
      <c r="L253" s="16" t="n">
        <v>4</v>
      </c>
      <c r="M253" s="17" t="inlineStr">
        <is>
          <t>8-Speed Dual-Clutch</t>
        </is>
      </c>
      <c r="N253" s="16" t="inlineStr">
        <is>
          <t>4MATIC AWD</t>
        </is>
      </c>
      <c r="O253" s="16" t="inlineStr">
        <is>
          <t>27 (24/32)</t>
        </is>
      </c>
      <c r="P253" s="16" t="inlineStr">
        <is>
          <t>N/A</t>
        </is>
      </c>
      <c r="Q253" s="21" t="inlineStr">
        <is>
          <t>N/A</t>
        </is>
      </c>
      <c r="R253" s="16" t="n">
        <v>7</v>
      </c>
      <c r="S253" s="22" t="n">
        <v>22</v>
      </c>
      <c r="T253" s="19" t="n">
        <v>1800</v>
      </c>
      <c r="U253" s="28" t="inlineStr">
        <is>
          <t>8.5/10</t>
        </is>
      </c>
      <c r="V253" s="24" t="inlineStr">
        <is>
          <t xml:space="preserve"> • Superb real-world fuel economy
 • Smooth electric-gas power handover
 • No range anxiety on long trips</t>
        </is>
      </c>
      <c r="W253" s="25" t="inlineStr">
        <is>
          <t xml:space="preserve"> • Added curb weight from battery packs
 • Slightly compromised cargo space
 • eCVT engine flare during passing</t>
        </is>
      </c>
      <c r="X253" s="26" t="inlineStr">
        <is>
          <t>A finely engineered mild hybrid compact box crossover striking the optimal balance between high efficiency and long-distance practicality.</t>
        </is>
      </c>
      <c r="Y253" s="27" t="inlineStr">
        <is>
          <t>https://hips.hearstapps.com/hmg-prod/images/2026-mercedes-benz-glb-class.jpg</t>
        </is>
      </c>
      <c r="Z253" s="27" t="inlineStr">
        <is>
          <t>https://www.caranddriver.com/mercedes-benz/glb-class</t>
        </is>
      </c>
      <c r="AA253" s="17" t="inlineStr">
        <is>
          <t>Car and Driver Buyer's Guide</t>
        </is>
      </c>
    </row>
    <row r="254" ht="48" customHeight="1">
      <c r="A254" s="4" t="n">
        <v>2026</v>
      </c>
      <c r="B254" s="5" t="inlineStr">
        <is>
          <t>Mercedes-Benz</t>
        </is>
      </c>
      <c r="C254" s="5" t="inlineStr">
        <is>
          <t>GLC-Class</t>
        </is>
      </c>
      <c r="D254" s="5" t="inlineStr">
        <is>
          <t>GLC350e 4MATIC</t>
        </is>
      </c>
      <c r="E254" s="5" t="inlineStr">
        <is>
          <t>Compact Luxury Plug-In SUV</t>
        </is>
      </c>
      <c r="F254" s="5" t="inlineStr">
        <is>
          <t>PHEV</t>
        </is>
      </c>
      <c r="G254" s="6" t="n">
        <v>61050</v>
      </c>
      <c r="H254" s="7" t="n">
        <v>313</v>
      </c>
      <c r="I254" s="7" t="n">
        <v>406</v>
      </c>
      <c r="J254" s="5" t="inlineStr">
        <is>
          <t>2.0L Turbo I4 + Motor</t>
        </is>
      </c>
      <c r="K254" s="8" t="n">
        <v>2</v>
      </c>
      <c r="L254" s="4" t="n">
        <v>4</v>
      </c>
      <c r="M254" s="5" t="inlineStr">
        <is>
          <t>9-Speed 9G-TRONIC</t>
        </is>
      </c>
      <c r="N254" s="4" t="inlineStr">
        <is>
          <t>4MATIC AWD</t>
        </is>
      </c>
      <c r="O254" s="4" t="inlineStr">
        <is>
          <t>64 MPGe / 26 Comb</t>
        </is>
      </c>
      <c r="P254" s="4" t="inlineStr">
        <is>
          <t>54</t>
        </is>
      </c>
      <c r="Q254" s="10" t="n">
        <v>24.8</v>
      </c>
      <c r="R254" s="4" t="n">
        <v>5</v>
      </c>
      <c r="S254" s="10" t="n">
        <v>17.3</v>
      </c>
      <c r="T254" s="7" t="n">
        <v>3500</v>
      </c>
      <c r="U254" s="11" t="inlineStr">
        <is>
          <t>9.0/10</t>
        </is>
      </c>
      <c r="V254" s="12" t="inlineStr">
        <is>
          <t xml:space="preserve"> • Superb real-world fuel economy
 • Smooth electric-gas power handover
 • No range anxiety on long trips</t>
        </is>
      </c>
      <c r="W254" s="13" t="inlineStr">
        <is>
          <t xml:space="preserve"> • Added curb weight from battery packs
 • Slightly compromised cargo space
 • eCVT engine flare during passing</t>
        </is>
      </c>
      <c r="X254" s="14" t="inlineStr">
        <is>
          <t>A finely engineered phev compact luxury plug-in suv striking the optimal balance between high efficiency and long-distance practicality.</t>
        </is>
      </c>
      <c r="Y254" s="15" t="inlineStr">
        <is>
          <t>https://hips.hearstapps.com/hmg-prod/images/2026-mercedes-benz-glc-class.jpg</t>
        </is>
      </c>
      <c r="Z254" s="15" t="inlineStr">
        <is>
          <t>https://www.caranddriver.com/mercedes-benz/glc-class</t>
        </is>
      </c>
      <c r="AA254" s="5" t="inlineStr">
        <is>
          <t>Car and Driver Editors' Choice</t>
        </is>
      </c>
    </row>
    <row r="255" ht="48" customHeight="1">
      <c r="A255" s="16" t="n">
        <v>2026</v>
      </c>
      <c r="B255" s="17" t="inlineStr">
        <is>
          <t>Mercedes-Benz</t>
        </is>
      </c>
      <c r="C255" s="17" t="inlineStr">
        <is>
          <t>GLE-Class</t>
        </is>
      </c>
      <c r="D255" s="17" t="inlineStr">
        <is>
          <t>GLE450 4MATIC</t>
        </is>
      </c>
      <c r="E255" s="17" t="inlineStr">
        <is>
          <t>Mid-Size Luxury SUV</t>
        </is>
      </c>
      <c r="F255" s="17" t="inlineStr">
        <is>
          <t>Mild Hybrid</t>
        </is>
      </c>
      <c r="G255" s="18" t="n">
        <v>71000</v>
      </c>
      <c r="H255" s="19" t="n">
        <v>375</v>
      </c>
      <c r="I255" s="19" t="n">
        <v>369</v>
      </c>
      <c r="J255" s="17" t="inlineStr">
        <is>
          <t>3.0L Turbo I6 48V</t>
        </is>
      </c>
      <c r="K255" s="20" t="n">
        <v>3</v>
      </c>
      <c r="L255" s="16" t="n">
        <v>6</v>
      </c>
      <c r="M255" s="17" t="inlineStr">
        <is>
          <t>9-Speed 9G-TRONIC</t>
        </is>
      </c>
      <c r="N255" s="16" t="inlineStr">
        <is>
          <t>4MATIC AWD</t>
        </is>
      </c>
      <c r="O255" s="16" t="inlineStr">
        <is>
          <t>22 (19/26)</t>
        </is>
      </c>
      <c r="P255" s="16" t="inlineStr">
        <is>
          <t>N/A</t>
        </is>
      </c>
      <c r="Q255" s="21" t="inlineStr">
        <is>
          <t>N/A</t>
        </is>
      </c>
      <c r="R255" s="16" t="n">
        <v>7</v>
      </c>
      <c r="S255" s="22" t="n">
        <v>33.3</v>
      </c>
      <c r="T255" s="19" t="n">
        <v>7700</v>
      </c>
      <c r="U255" s="28" t="inlineStr">
        <is>
          <t>9.0/10</t>
        </is>
      </c>
      <c r="V255" s="24" t="inlineStr">
        <is>
          <t xml:space="preserve"> • Superb real-world fuel economy
 • Smooth electric-gas power handover
 • No range anxiety on long trips</t>
        </is>
      </c>
      <c r="W255" s="25" t="inlineStr">
        <is>
          <t xml:space="preserve"> • Added curb weight from battery packs
 • Slightly compromised cargo space
 • eCVT engine flare during passing</t>
        </is>
      </c>
      <c r="X255" s="26" t="inlineStr">
        <is>
          <t>A finely engineered mild hybrid mid-size luxury suv striking the optimal balance between high efficiency and long-distance practicality.</t>
        </is>
      </c>
      <c r="Y255" s="27" t="inlineStr">
        <is>
          <t>https://hips.hearstapps.com/hmg-prod/images/2026-mercedes-benz-gle-class.jpg</t>
        </is>
      </c>
      <c r="Z255" s="27" t="inlineStr">
        <is>
          <t>https://www.caranddriver.com/mercedes-benz/gle-class</t>
        </is>
      </c>
      <c r="AA255" s="17" t="inlineStr">
        <is>
          <t>Car and Driver Editors' Choice</t>
        </is>
      </c>
    </row>
    <row r="256" ht="48" customHeight="1">
      <c r="A256" s="4" t="n">
        <v>2026</v>
      </c>
      <c r="B256" s="5" t="inlineStr">
        <is>
          <t>Mercedes-Benz</t>
        </is>
      </c>
      <c r="C256" s="5" t="inlineStr">
        <is>
          <t>GLE-Class</t>
        </is>
      </c>
      <c r="D256" s="5" t="inlineStr">
        <is>
          <t>AMG GLE63 S</t>
        </is>
      </c>
      <c r="E256" s="5" t="inlineStr">
        <is>
          <t>Performance Mid-Size SUV</t>
        </is>
      </c>
      <c r="F256" s="5" t="inlineStr">
        <is>
          <t>Mild Hybrid</t>
        </is>
      </c>
      <c r="G256" s="6" t="n">
        <v>129000</v>
      </c>
      <c r="H256" s="7" t="n">
        <v>603</v>
      </c>
      <c r="I256" s="7" t="n">
        <v>627</v>
      </c>
      <c r="J256" s="5" t="inlineStr">
        <is>
          <t>4.0L Biturbo V8 48V</t>
        </is>
      </c>
      <c r="K256" s="8" t="n">
        <v>4</v>
      </c>
      <c r="L256" s="4" t="n">
        <v>8</v>
      </c>
      <c r="M256" s="5" t="inlineStr">
        <is>
          <t>9-Speed MCT</t>
        </is>
      </c>
      <c r="N256" s="4" t="inlineStr">
        <is>
          <t>AMG 4MATIC+</t>
        </is>
      </c>
      <c r="O256" s="4" t="inlineStr">
        <is>
          <t>16 (15/19)</t>
        </is>
      </c>
      <c r="P256" s="4" t="inlineStr">
        <is>
          <t>N/A</t>
        </is>
      </c>
      <c r="Q256" s="9" t="inlineStr">
        <is>
          <t>N/A</t>
        </is>
      </c>
      <c r="R256" s="4" t="n">
        <v>5</v>
      </c>
      <c r="S256" s="10" t="n">
        <v>33.3</v>
      </c>
      <c r="T256" s="7" t="n">
        <v>7700</v>
      </c>
      <c r="U256" s="11" t="inlineStr">
        <is>
          <t>9.0/10</t>
        </is>
      </c>
      <c r="V256" s="12" t="inlineStr">
        <is>
          <t xml:space="preserve"> • Superb real-world fuel economy
 • Smooth electric-gas power handover
 • No range anxiety on long trips</t>
        </is>
      </c>
      <c r="W256" s="13" t="inlineStr">
        <is>
          <t xml:space="preserve"> • Added curb weight from battery packs
 • Slightly compromised cargo space
 • eCVT engine flare during passing</t>
        </is>
      </c>
      <c r="X256" s="14" t="inlineStr">
        <is>
          <t>A finely engineered mild hybrid performance mid-size suv striking the optimal balance between high efficiency and long-distance practicality.</t>
        </is>
      </c>
      <c r="Y256" s="15" t="inlineStr">
        <is>
          <t>https://hips.hearstapps.com/hmg-prod/images/2026-mercedes-benz-gle-class.jpg</t>
        </is>
      </c>
      <c r="Z256" s="15" t="inlineStr">
        <is>
          <t>https://www.caranddriver.com/mercedes-amg/gle-class</t>
        </is>
      </c>
      <c r="AA256" s="5" t="inlineStr">
        <is>
          <t>Car and Driver Buyer's Guide</t>
        </is>
      </c>
    </row>
    <row r="257" ht="48" customHeight="1">
      <c r="A257" s="16" t="n">
        <v>2026</v>
      </c>
      <c r="B257" s="17" t="inlineStr">
        <is>
          <t>Mercedes-Benz</t>
        </is>
      </c>
      <c r="C257" s="17" t="inlineStr">
        <is>
          <t>GLS-Class</t>
        </is>
      </c>
      <c r="D257" s="17" t="inlineStr">
        <is>
          <t>GLS580 4MATIC</t>
        </is>
      </c>
      <c r="E257" s="17" t="inlineStr">
        <is>
          <t>3-Row Flagship Luxury SUV</t>
        </is>
      </c>
      <c r="F257" s="17" t="inlineStr">
        <is>
          <t>Mild Hybrid</t>
        </is>
      </c>
      <c r="G257" s="18" t="n">
        <v>114000</v>
      </c>
      <c r="H257" s="19" t="n">
        <v>510</v>
      </c>
      <c r="I257" s="19" t="n">
        <v>538</v>
      </c>
      <c r="J257" s="17" t="inlineStr">
        <is>
          <t>4.0L Biturbo V8 48V</t>
        </is>
      </c>
      <c r="K257" s="20" t="n">
        <v>4</v>
      </c>
      <c r="L257" s="16" t="n">
        <v>8</v>
      </c>
      <c r="M257" s="17" t="inlineStr">
        <is>
          <t>9-Speed 9G-TRONIC</t>
        </is>
      </c>
      <c r="N257" s="16" t="inlineStr">
        <is>
          <t>4MATIC AWD</t>
        </is>
      </c>
      <c r="O257" s="16" t="inlineStr">
        <is>
          <t>16 (14/20)</t>
        </is>
      </c>
      <c r="P257" s="16" t="inlineStr">
        <is>
          <t>N/A</t>
        </is>
      </c>
      <c r="Q257" s="21" t="inlineStr">
        <is>
          <t>N/A</t>
        </is>
      </c>
      <c r="R257" s="16" t="n">
        <v>7</v>
      </c>
      <c r="S257" s="22" t="n">
        <v>17.4</v>
      </c>
      <c r="T257" s="19" t="n">
        <v>7700</v>
      </c>
      <c r="U257" s="28" t="inlineStr">
        <is>
          <t>9.0/10</t>
        </is>
      </c>
      <c r="V257" s="24" t="inlineStr">
        <is>
          <t xml:space="preserve"> • Superb real-world fuel economy
 • Smooth electric-gas power handover
 • No range anxiety on long trips</t>
        </is>
      </c>
      <c r="W257" s="25" t="inlineStr">
        <is>
          <t xml:space="preserve"> • Added curb weight from battery packs
 • Slightly compromised cargo space
 • eCVT engine flare during passing</t>
        </is>
      </c>
      <c r="X257" s="26" t="inlineStr">
        <is>
          <t>A finely engineered mild hybrid 3-row flagship luxury suv striking the optimal balance between high efficiency and long-distance practicality.</t>
        </is>
      </c>
      <c r="Y257" s="27" t="inlineStr">
        <is>
          <t>https://hips.hearstapps.com/hmg-prod/images/2026-mercedes-benz-gls-class.jpg</t>
        </is>
      </c>
      <c r="Z257" s="27" t="inlineStr">
        <is>
          <t>https://www.caranddriver.com/mercedes-benz/gls-class</t>
        </is>
      </c>
      <c r="AA257" s="17" t="inlineStr">
        <is>
          <t>Car and Driver Editors' Choice</t>
        </is>
      </c>
    </row>
    <row r="258" ht="48" customHeight="1">
      <c r="A258" s="4" t="n">
        <v>2026</v>
      </c>
      <c r="B258" s="5" t="inlineStr">
        <is>
          <t>Mercedes-Benz</t>
        </is>
      </c>
      <c r="C258" s="5" t="inlineStr">
        <is>
          <t>GLS-Class</t>
        </is>
      </c>
      <c r="D258" s="5" t="inlineStr">
        <is>
          <t>Maybach GLS600</t>
        </is>
      </c>
      <c r="E258" s="5" t="inlineStr">
        <is>
          <t>Ultra-Luxury 3-Row SUV</t>
        </is>
      </c>
      <c r="F258" s="5" t="inlineStr">
        <is>
          <t>Mild Hybrid</t>
        </is>
      </c>
      <c r="G258" s="6" t="n">
        <v>175000</v>
      </c>
      <c r="H258" s="7" t="n">
        <v>550</v>
      </c>
      <c r="I258" s="7" t="n">
        <v>538</v>
      </c>
      <c r="J258" s="5" t="inlineStr">
        <is>
          <t>4.0L Biturbo V8 48V</t>
        </is>
      </c>
      <c r="K258" s="8" t="n">
        <v>4</v>
      </c>
      <c r="L258" s="4" t="n">
        <v>8</v>
      </c>
      <c r="M258" s="5" t="inlineStr">
        <is>
          <t>9-Speed 9G-TRONIC</t>
        </is>
      </c>
      <c r="N258" s="4" t="inlineStr">
        <is>
          <t>4MATIC AWD</t>
        </is>
      </c>
      <c r="O258" s="4" t="inlineStr">
        <is>
          <t>16 (14/19)</t>
        </is>
      </c>
      <c r="P258" s="4" t="inlineStr">
        <is>
          <t>N/A</t>
        </is>
      </c>
      <c r="Q258" s="9" t="inlineStr">
        <is>
          <t>N/A</t>
        </is>
      </c>
      <c r="R258" s="4" t="n">
        <v>4</v>
      </c>
      <c r="S258" s="10" t="n">
        <v>18.4</v>
      </c>
      <c r="T258" s="7" t="n">
        <v>7700</v>
      </c>
      <c r="U258" s="11" t="inlineStr">
        <is>
          <t>9.0/10</t>
        </is>
      </c>
      <c r="V258" s="12" t="inlineStr">
        <is>
          <t xml:space="preserve"> • Superb real-world fuel economy
 • Smooth electric-gas power handover
 • No range anxiety on long trips</t>
        </is>
      </c>
      <c r="W258" s="13" t="inlineStr">
        <is>
          <t xml:space="preserve"> • Added curb weight from battery packs
 • Slightly compromised cargo space
 • eCVT engine flare during passing</t>
        </is>
      </c>
      <c r="X258" s="14" t="inlineStr">
        <is>
          <t>A finely engineered mild hybrid ultra-luxury 3-row suv striking the optimal balance between high efficiency and long-distance practicality.</t>
        </is>
      </c>
      <c r="Y258" s="15" t="inlineStr">
        <is>
          <t>https://hips.hearstapps.com/hmg-prod/images/2026-mercedes-benz-gls-class.jpg</t>
        </is>
      </c>
      <c r="Z258" s="15" t="inlineStr">
        <is>
          <t>https://www.caranddriver.com/mercedes-maybach/gls-class</t>
        </is>
      </c>
      <c r="AA258" s="5" t="inlineStr">
        <is>
          <t>Car and Driver Buyer's Guide</t>
        </is>
      </c>
    </row>
    <row r="259" ht="48" customHeight="1">
      <c r="A259" s="16" t="n">
        <v>2026</v>
      </c>
      <c r="B259" s="17" t="inlineStr">
        <is>
          <t>Mercedes-Benz</t>
        </is>
      </c>
      <c r="C259" s="17" t="inlineStr">
        <is>
          <t>G-Class</t>
        </is>
      </c>
      <c r="D259" s="17" t="inlineStr">
        <is>
          <t>G550 Professional</t>
        </is>
      </c>
      <c r="E259" s="17" t="inlineStr">
        <is>
          <t>Luxury 4x4 Off-Roader</t>
        </is>
      </c>
      <c r="F259" s="17" t="inlineStr">
        <is>
          <t>Mild Hybrid</t>
        </is>
      </c>
      <c r="G259" s="18" t="n">
        <v>150000</v>
      </c>
      <c r="H259" s="19" t="n">
        <v>443</v>
      </c>
      <c r="I259" s="19" t="n">
        <v>413</v>
      </c>
      <c r="J259" s="17" t="inlineStr">
        <is>
          <t>3.0L Turbo I6 48V</t>
        </is>
      </c>
      <c r="K259" s="20" t="n">
        <v>3</v>
      </c>
      <c r="L259" s="16" t="n">
        <v>6</v>
      </c>
      <c r="M259" s="17" t="inlineStr">
        <is>
          <t>9-Speed 9G-TRONIC</t>
        </is>
      </c>
      <c r="N259" s="16" t="inlineStr">
        <is>
          <t>4MATIC 4WD</t>
        </is>
      </c>
      <c r="O259" s="16" t="inlineStr">
        <is>
          <t>18 (17/19)</t>
        </is>
      </c>
      <c r="P259" s="16" t="inlineStr">
        <is>
          <t>N/A</t>
        </is>
      </c>
      <c r="Q259" s="21" t="inlineStr">
        <is>
          <t>N/A</t>
        </is>
      </c>
      <c r="R259" s="16" t="n">
        <v>5</v>
      </c>
      <c r="S259" s="22" t="n">
        <v>38.1</v>
      </c>
      <c r="T259" s="19" t="n">
        <v>7716</v>
      </c>
      <c r="U259" s="28" t="inlineStr">
        <is>
          <t>9.0/10</t>
        </is>
      </c>
      <c r="V259" s="24" t="inlineStr">
        <is>
          <t xml:space="preserve"> • Superb real-world fuel economy
 • Smooth electric-gas power handover
 • No range anxiety on long trips</t>
        </is>
      </c>
      <c r="W259" s="25" t="inlineStr">
        <is>
          <t xml:space="preserve"> • Added curb weight from battery packs
 • Slightly compromised cargo space
 • eCVT engine flare during passing</t>
        </is>
      </c>
      <c r="X259" s="26" t="inlineStr">
        <is>
          <t>A finely engineered mild hybrid luxury 4x4 off-roader striking the optimal balance between high efficiency and long-distance practicality.</t>
        </is>
      </c>
      <c r="Y259" s="27" t="inlineStr">
        <is>
          <t>https://hips.hearstapps.com/hmg-prod/images/2026-mercedes-benz-g-class.jpg</t>
        </is>
      </c>
      <c r="Z259" s="27" t="inlineStr">
        <is>
          <t>https://www.caranddriver.com/mercedes-benz/g-class</t>
        </is>
      </c>
      <c r="AA259" s="17" t="inlineStr">
        <is>
          <t>Car and Driver Buyer's Guide</t>
        </is>
      </c>
    </row>
    <row r="260" ht="48" customHeight="1">
      <c r="A260" s="4" t="n">
        <v>2026</v>
      </c>
      <c r="B260" s="5" t="inlineStr">
        <is>
          <t>Mercedes-Benz</t>
        </is>
      </c>
      <c r="C260" s="5" t="inlineStr">
        <is>
          <t>G-Class</t>
        </is>
      </c>
      <c r="D260" s="5" t="inlineStr">
        <is>
          <t>AMG G63</t>
        </is>
      </c>
      <c r="E260" s="5" t="inlineStr">
        <is>
          <t>High-Performance Luxury 4x4</t>
        </is>
      </c>
      <c r="F260" s="5" t="inlineStr">
        <is>
          <t>Mild Hybrid</t>
        </is>
      </c>
      <c r="G260" s="6" t="n">
        <v>184150</v>
      </c>
      <c r="H260" s="7" t="n">
        <v>577</v>
      </c>
      <c r="I260" s="7" t="n">
        <v>627</v>
      </c>
      <c r="J260" s="5" t="inlineStr">
        <is>
          <t>4.0L Biturbo V8 48V</t>
        </is>
      </c>
      <c r="K260" s="8" t="n">
        <v>4</v>
      </c>
      <c r="L260" s="4" t="n">
        <v>8</v>
      </c>
      <c r="M260" s="5" t="inlineStr">
        <is>
          <t>9-Speed MCT</t>
        </is>
      </c>
      <c r="N260" s="4" t="inlineStr">
        <is>
          <t>AMG 4MATIC</t>
        </is>
      </c>
      <c r="O260" s="4" t="inlineStr">
        <is>
          <t>15 (14/16)</t>
        </is>
      </c>
      <c r="P260" s="4" t="inlineStr">
        <is>
          <t>N/A</t>
        </is>
      </c>
      <c r="Q260" s="9" t="inlineStr">
        <is>
          <t>N/A</t>
        </is>
      </c>
      <c r="R260" s="4" t="n">
        <v>5</v>
      </c>
      <c r="S260" s="10" t="n">
        <v>38.1</v>
      </c>
      <c r="T260" s="7" t="n">
        <v>7716</v>
      </c>
      <c r="U260" s="11" t="inlineStr">
        <is>
          <t>9.0/10</t>
        </is>
      </c>
      <c r="V260" s="12" t="inlineStr">
        <is>
          <t xml:space="preserve"> • Superb real-world fuel economy
 • Smooth electric-gas power handover
 • No range anxiety on long trips</t>
        </is>
      </c>
      <c r="W260" s="13" t="inlineStr">
        <is>
          <t xml:space="preserve"> • Added curb weight from battery packs
 • Slightly compromised cargo space
 • eCVT engine flare during passing</t>
        </is>
      </c>
      <c r="X260" s="14" t="inlineStr">
        <is>
          <t>A finely engineered mild hybrid high-performance luxury 4x4 striking the optimal balance between high efficiency and long-distance practicality.</t>
        </is>
      </c>
      <c r="Y260" s="15" t="inlineStr">
        <is>
          <t>https://hips.hearstapps.com/hmg-prod/images/2026-mercedes-benz-g-class.jpg</t>
        </is>
      </c>
      <c r="Z260" s="15" t="inlineStr">
        <is>
          <t>https://www.caranddriver.com/mercedes-amg/g63</t>
        </is>
      </c>
      <c r="AA260" s="5" t="inlineStr">
        <is>
          <t>Car and Driver Buyer's Guide</t>
        </is>
      </c>
    </row>
    <row r="261" ht="48" customHeight="1">
      <c r="A261" s="16" t="n">
        <v>2026</v>
      </c>
      <c r="B261" s="17" t="inlineStr">
        <is>
          <t>Mercedes-Benz</t>
        </is>
      </c>
      <c r="C261" s="17" t="inlineStr">
        <is>
          <t>G-Class</t>
        </is>
      </c>
      <c r="D261" s="17" t="inlineStr">
        <is>
          <t>G580 with EQ Technology</t>
        </is>
      </c>
      <c r="E261" s="17" t="inlineStr">
        <is>
          <t>Luxury Electric 4x4</t>
        </is>
      </c>
      <c r="F261" s="17" t="inlineStr">
        <is>
          <t>Electric</t>
        </is>
      </c>
      <c r="G261" s="18" t="n">
        <v>162900</v>
      </c>
      <c r="H261" s="19" t="n">
        <v>579</v>
      </c>
      <c r="I261" s="19" t="n">
        <v>859</v>
      </c>
      <c r="J261" s="17" t="inlineStr">
        <is>
          <t>4 Independent Electric Motors</t>
        </is>
      </c>
      <c r="K261" s="16" t="inlineStr">
        <is>
          <t>N/A</t>
        </is>
      </c>
      <c r="L261" s="16" t="n">
        <v>0</v>
      </c>
      <c r="M261" s="17" t="inlineStr">
        <is>
          <t>2-Speed Low/High Range</t>
        </is>
      </c>
      <c r="N261" s="16" t="inlineStr">
        <is>
          <t>AWD</t>
        </is>
      </c>
      <c r="O261" s="16" t="inlineStr">
        <is>
          <t>68 MPGe</t>
        </is>
      </c>
      <c r="P261" s="16" t="inlineStr">
        <is>
          <t>290</t>
        </is>
      </c>
      <c r="Q261" s="22" t="n">
        <v>116</v>
      </c>
      <c r="R261" s="16" t="n">
        <v>5</v>
      </c>
      <c r="S261" s="22" t="n">
        <v>22</v>
      </c>
      <c r="T261" s="19" t="n">
        <v>7716</v>
      </c>
      <c r="U261" s="28" t="inlineStr">
        <is>
          <t>9.0/10</t>
        </is>
      </c>
      <c r="V261" s="24" t="inlineStr">
        <is>
          <t xml:space="preserve"> • Silent, instantaneous acceleration
 • Low center of gravity enhances stability
 • Zero tailpipe emissions</t>
        </is>
      </c>
      <c r="W261" s="25" t="inlineStr">
        <is>
          <t xml:space="preserve"> • Highway range drops at sustained speed
 • Public charging network variability
 • Pricier initial purchase cost</t>
        </is>
      </c>
      <c r="X261" s="26" t="inlineStr">
        <is>
          <t>A compelling electric entry in the luxury electric 4x4 segment offering smooth power delivery and advanced tech.</t>
        </is>
      </c>
      <c r="Y261" s="27" t="inlineStr">
        <is>
          <t>https://hips.hearstapps.com/hmg-prod/images/2026-mercedes-benz-g-class.jpg</t>
        </is>
      </c>
      <c r="Z261" s="27" t="inlineStr">
        <is>
          <t>https://www.caranddriver.com/mercedes-benz/g-class-ev</t>
        </is>
      </c>
      <c r="AA261" s="17" t="inlineStr">
        <is>
          <t>Car and Driver First Drive</t>
        </is>
      </c>
    </row>
    <row r="262" ht="48" customHeight="1">
      <c r="A262" s="4" t="n">
        <v>2026</v>
      </c>
      <c r="B262" s="5" t="inlineStr">
        <is>
          <t>MINI</t>
        </is>
      </c>
      <c r="C262" s="5" t="inlineStr">
        <is>
          <t>Cooper</t>
        </is>
      </c>
      <c r="D262" s="5" t="inlineStr">
        <is>
          <t>Cooper S 2-Door</t>
        </is>
      </c>
      <c r="E262" s="5" t="inlineStr">
        <is>
          <t>Subcompact Hatchback</t>
        </is>
      </c>
      <c r="F262" s="5" t="inlineStr">
        <is>
          <t>Gasoline</t>
        </is>
      </c>
      <c r="G262" s="6" t="n">
        <v>33500</v>
      </c>
      <c r="H262" s="7" t="n">
        <v>201</v>
      </c>
      <c r="I262" s="7" t="n">
        <v>221</v>
      </c>
      <c r="J262" s="5" t="inlineStr">
        <is>
          <t>2.0L TwinPower Turbo I4</t>
        </is>
      </c>
      <c r="K262" s="8" t="n">
        <v>2</v>
      </c>
      <c r="L262" s="4" t="n">
        <v>4</v>
      </c>
      <c r="M262" s="5" t="inlineStr">
        <is>
          <t>7-Speed Dual-Clutch</t>
        </is>
      </c>
      <c r="N262" s="4" t="inlineStr">
        <is>
          <t>FWD</t>
        </is>
      </c>
      <c r="O262" s="4" t="inlineStr">
        <is>
          <t>31 (28/36)</t>
        </is>
      </c>
      <c r="P262" s="4" t="inlineStr">
        <is>
          <t>N/A</t>
        </is>
      </c>
      <c r="Q262" s="9" t="inlineStr">
        <is>
          <t>N/A</t>
        </is>
      </c>
      <c r="R262" s="4" t="n">
        <v>4</v>
      </c>
      <c r="S262" s="10" t="n">
        <v>8.9</v>
      </c>
      <c r="T262" s="4" t="inlineStr">
        <is>
          <t>N/A</t>
        </is>
      </c>
      <c r="U262" s="11" t="inlineStr">
        <is>
          <t>8.5/10</t>
        </is>
      </c>
      <c r="V262" s="12" t="inlineStr">
        <is>
          <t xml:space="preserve"> • Sharper handling dynamics than taller SUVs
 • Superior highway fuel economy
 • Easy maneuvering in urban spaces</t>
        </is>
      </c>
      <c r="W262" s="13" t="inlineStr">
        <is>
          <t xml:space="preserve"> • Less cargo flexibility than crossovers
 • Lower seating hip point for ingress
 • Fewer AWD options</t>
        </is>
      </c>
      <c r="X262" s="14" t="inlineStr">
        <is>
          <t>A well-proportioned subcompact hatchback offering superior driving manners and efficiency over conventional crossovers.</t>
        </is>
      </c>
      <c r="Y262" s="15" t="inlineStr">
        <is>
          <t>https://hips.hearstapps.com/hmg-prod/images/2026-mini-cooper.jpg</t>
        </is>
      </c>
      <c r="Z262" s="15" t="inlineStr">
        <is>
          <t>https://www.caranddriver.com/mini/cooper</t>
        </is>
      </c>
      <c r="AA262" s="5" t="inlineStr">
        <is>
          <t>Car and Driver Editors' Choice</t>
        </is>
      </c>
    </row>
    <row r="263" ht="48" customHeight="1">
      <c r="A263" s="16" t="n">
        <v>2026</v>
      </c>
      <c r="B263" s="17" t="inlineStr">
        <is>
          <t>MINI</t>
        </is>
      </c>
      <c r="C263" s="17" t="inlineStr">
        <is>
          <t>Cooper</t>
        </is>
      </c>
      <c r="D263" s="17" t="inlineStr">
        <is>
          <t>John Cooper Works (JCW)</t>
        </is>
      </c>
      <c r="E263" s="17" t="inlineStr">
        <is>
          <t>Hot Hatchback</t>
        </is>
      </c>
      <c r="F263" s="17" t="inlineStr">
        <is>
          <t>Gasoline</t>
        </is>
      </c>
      <c r="G263" s="18" t="n">
        <v>39500</v>
      </c>
      <c r="H263" s="19" t="n">
        <v>228</v>
      </c>
      <c r="I263" s="19" t="n">
        <v>280</v>
      </c>
      <c r="J263" s="17" t="inlineStr">
        <is>
          <t>2.0L TwinPower Turbo I4</t>
        </is>
      </c>
      <c r="K263" s="20" t="n">
        <v>2</v>
      </c>
      <c r="L263" s="16" t="n">
        <v>4</v>
      </c>
      <c r="M263" s="17" t="inlineStr">
        <is>
          <t>7-Speed Dual-Clutch</t>
        </is>
      </c>
      <c r="N263" s="16" t="inlineStr">
        <is>
          <t>FWD</t>
        </is>
      </c>
      <c r="O263" s="16" t="inlineStr">
        <is>
          <t>28 (24/33)</t>
        </is>
      </c>
      <c r="P263" s="16" t="inlineStr">
        <is>
          <t>N/A</t>
        </is>
      </c>
      <c r="Q263" s="21" t="inlineStr">
        <is>
          <t>N/A</t>
        </is>
      </c>
      <c r="R263" s="16" t="n">
        <v>4</v>
      </c>
      <c r="S263" s="22" t="n">
        <v>8.9</v>
      </c>
      <c r="T263" s="16" t="inlineStr">
        <is>
          <t>N/A</t>
        </is>
      </c>
      <c r="U263" s="28" t="inlineStr">
        <is>
          <t>8.5/10</t>
        </is>
      </c>
      <c r="V263" s="24" t="inlineStr">
        <is>
          <t xml:space="preserve"> • Sharper handling dynamics than taller SUVs
 • Superior highway fuel economy
 • Easy maneuvering in urban spaces</t>
        </is>
      </c>
      <c r="W263" s="25" t="inlineStr">
        <is>
          <t xml:space="preserve"> • Less cargo flexibility than crossovers
 • Lower seating hip point for ingress
 • Fewer AWD options</t>
        </is>
      </c>
      <c r="X263" s="26" t="inlineStr">
        <is>
          <t>A well-proportioned hot hatchback offering superior driving manners and efficiency over conventional crossovers.</t>
        </is>
      </c>
      <c r="Y263" s="27" t="inlineStr">
        <is>
          <t>https://hips.hearstapps.com/hmg-prod/images/2026-mini-cooper.jpg</t>
        </is>
      </c>
      <c r="Z263" s="27" t="inlineStr">
        <is>
          <t>https://www.caranddriver.com/mini/cooper-jcw</t>
        </is>
      </c>
      <c r="AA263" s="17" t="inlineStr">
        <is>
          <t>Car and Driver Buyer's Guide</t>
        </is>
      </c>
    </row>
    <row r="264" ht="48" customHeight="1">
      <c r="A264" s="4" t="n">
        <v>2026</v>
      </c>
      <c r="B264" s="5" t="inlineStr">
        <is>
          <t>MINI</t>
        </is>
      </c>
      <c r="C264" s="5" t="inlineStr">
        <is>
          <t>Countryman</t>
        </is>
      </c>
      <c r="D264" s="5" t="inlineStr">
        <is>
          <t>JCW ALL4</t>
        </is>
      </c>
      <c r="E264" s="5" t="inlineStr">
        <is>
          <t>Subcompact Sport Crossover</t>
        </is>
      </c>
      <c r="F264" s="5" t="inlineStr">
        <is>
          <t>Gasoline</t>
        </is>
      </c>
      <c r="G264" s="6" t="n">
        <v>47895</v>
      </c>
      <c r="H264" s="7" t="n">
        <v>312</v>
      </c>
      <c r="I264" s="7" t="n">
        <v>295</v>
      </c>
      <c r="J264" s="5" t="inlineStr">
        <is>
          <t>2.0L Turbo I4</t>
        </is>
      </c>
      <c r="K264" s="8" t="n">
        <v>2</v>
      </c>
      <c r="L264" s="4" t="n">
        <v>4</v>
      </c>
      <c r="M264" s="5" t="inlineStr">
        <is>
          <t>7-Speed Dual-Clutch</t>
        </is>
      </c>
      <c r="N264" s="4" t="inlineStr">
        <is>
          <t>ALL4 AWD</t>
        </is>
      </c>
      <c r="O264" s="4" t="inlineStr">
        <is>
          <t>26 (23/31)</t>
        </is>
      </c>
      <c r="P264" s="4" t="inlineStr">
        <is>
          <t>N/A</t>
        </is>
      </c>
      <c r="Q264" s="9" t="inlineStr">
        <is>
          <t>N/A</t>
        </is>
      </c>
      <c r="R264" s="4" t="n">
        <v>5</v>
      </c>
      <c r="S264" s="10" t="n">
        <v>17.5</v>
      </c>
      <c r="T264" s="7" t="n">
        <v>3500</v>
      </c>
      <c r="U264" s="11" t="inlineStr">
        <is>
          <t>8.5/10</t>
        </is>
      </c>
      <c r="V264" s="12" t="inlineStr">
        <is>
          <t xml:space="preserve"> • Spacious passenger and cargo room
 • Commanding elevated driving position
 • Confidence-inspiring all-weather grip</t>
        </is>
      </c>
      <c r="W264" s="13" t="inlineStr">
        <is>
          <t xml:space="preserve"> • Higher center of gravity than sedans
 • Fuel consumption under heavy load
 • Less engaging steering feel</t>
        </is>
      </c>
      <c r="X264" s="14" t="inlineStr">
        <is>
          <t>A highly versatile subcompact sport crossover that delivers generous space, modern safety tech, and daily utility.</t>
        </is>
      </c>
      <c r="Y264" s="15" t="inlineStr">
        <is>
          <t>https://hips.hearstapps.com/hmg-prod/images/2026-mini-countryman.jpg</t>
        </is>
      </c>
      <c r="Z264" s="15" t="inlineStr">
        <is>
          <t>https://www.caranddriver.com/mini/countryman</t>
        </is>
      </c>
      <c r="AA264" s="5" t="inlineStr">
        <is>
          <t>Car and Driver Buyer's Guide</t>
        </is>
      </c>
    </row>
    <row r="265" ht="48" customHeight="1">
      <c r="A265" s="16" t="n">
        <v>2026</v>
      </c>
      <c r="B265" s="17" t="inlineStr">
        <is>
          <t>MINI</t>
        </is>
      </c>
      <c r="C265" s="17" t="inlineStr">
        <is>
          <t>Countryman EV</t>
        </is>
      </c>
      <c r="D265" s="17" t="inlineStr">
        <is>
          <t>SE ALL4</t>
        </is>
      </c>
      <c r="E265" s="17" t="inlineStr">
        <is>
          <t>Subcompact Electric Crossover</t>
        </is>
      </c>
      <c r="F265" s="17" t="inlineStr">
        <is>
          <t>Electric</t>
        </is>
      </c>
      <c r="G265" s="18" t="n">
        <v>46000</v>
      </c>
      <c r="H265" s="19" t="n">
        <v>308</v>
      </c>
      <c r="I265" s="19" t="n">
        <v>364</v>
      </c>
      <c r="J265" s="17" t="inlineStr">
        <is>
          <t>Dual Electric Motors</t>
        </is>
      </c>
      <c r="K265" s="16" t="inlineStr">
        <is>
          <t>N/A</t>
        </is>
      </c>
      <c r="L265" s="16" t="n">
        <v>0</v>
      </c>
      <c r="M265" s="17" t="inlineStr">
        <is>
          <t>1-Speed Direct</t>
        </is>
      </c>
      <c r="N265" s="16" t="inlineStr">
        <is>
          <t>ALL4 AWD</t>
        </is>
      </c>
      <c r="O265" s="16" t="inlineStr">
        <is>
          <t>94 MPGe</t>
        </is>
      </c>
      <c r="P265" s="16" t="inlineStr">
        <is>
          <t>245</t>
        </is>
      </c>
      <c r="Q265" s="22" t="n">
        <v>66.5</v>
      </c>
      <c r="R265" s="16" t="n">
        <v>5</v>
      </c>
      <c r="S265" s="22" t="n">
        <v>17.5</v>
      </c>
      <c r="T265" s="16" t="inlineStr">
        <is>
          <t>N/A</t>
        </is>
      </c>
      <c r="U265" s="28" t="inlineStr">
        <is>
          <t>8.5/10</t>
        </is>
      </c>
      <c r="V265" s="24" t="inlineStr">
        <is>
          <t xml:space="preserve"> • Silent, instantaneous acceleration
 • Low center of gravity enhances stability
 • Zero tailpipe emissions</t>
        </is>
      </c>
      <c r="W265" s="25" t="inlineStr">
        <is>
          <t xml:space="preserve"> • Highway range drops at sustained speed
 • Public charging network variability
 • Pricier initial purchase cost</t>
        </is>
      </c>
      <c r="X265" s="26" t="inlineStr">
        <is>
          <t>A compelling electric entry in the subcompact electric crossover segment offering smooth power delivery and advanced tech.</t>
        </is>
      </c>
      <c r="Y265" s="27" t="inlineStr">
        <is>
          <t>https://hips.hearstapps.com/hmg-prod/images/2026-mini-countryman-ev.jpg</t>
        </is>
      </c>
      <c r="Z265" s="27" t="inlineStr">
        <is>
          <t>https://www.caranddriver.com/mini/countryman-ev</t>
        </is>
      </c>
      <c r="AA265" s="17" t="inlineStr">
        <is>
          <t>Car and Driver Review</t>
        </is>
      </c>
    </row>
    <row r="266" ht="48" customHeight="1">
      <c r="A266" s="4" t="n">
        <v>2026</v>
      </c>
      <c r="B266" s="5" t="inlineStr">
        <is>
          <t>Mitsubishi</t>
        </is>
      </c>
      <c r="C266" s="5" t="inlineStr">
        <is>
          <t>Outlander</t>
        </is>
      </c>
      <c r="D266" s="5" t="inlineStr">
        <is>
          <t>SEL Premium AWD</t>
        </is>
      </c>
      <c r="E266" s="5" t="inlineStr">
        <is>
          <t>3-Row Compact SUV</t>
        </is>
      </c>
      <c r="F266" s="5" t="inlineStr">
        <is>
          <t>Gasoline</t>
        </is>
      </c>
      <c r="G266" s="6" t="n">
        <v>37000</v>
      </c>
      <c r="H266" s="7" t="n">
        <v>181</v>
      </c>
      <c r="I266" s="7" t="n">
        <v>181</v>
      </c>
      <c r="J266" s="5" t="inlineStr">
        <is>
          <t>2.5L DOHC 16V I4</t>
        </is>
      </c>
      <c r="K266" s="8" t="n">
        <v>2.5</v>
      </c>
      <c r="L266" s="4" t="n">
        <v>4</v>
      </c>
      <c r="M266" s="5" t="inlineStr">
        <is>
          <t>CVT</t>
        </is>
      </c>
      <c r="N266" s="4" t="inlineStr">
        <is>
          <t>S-AWC AWD</t>
        </is>
      </c>
      <c r="O266" s="4" t="inlineStr">
        <is>
          <t>26 (24/30)</t>
        </is>
      </c>
      <c r="P266" s="4" t="inlineStr">
        <is>
          <t>N/A</t>
        </is>
      </c>
      <c r="Q266" s="9" t="inlineStr">
        <is>
          <t>N/A</t>
        </is>
      </c>
      <c r="R266" s="4" t="n">
        <v>7</v>
      </c>
      <c r="S266" s="10" t="n">
        <v>11.7</v>
      </c>
      <c r="T266" s="7" t="n">
        <v>2000</v>
      </c>
      <c r="U266" s="11" t="inlineStr">
        <is>
          <t>7.5/10</t>
        </is>
      </c>
      <c r="V266" s="12" t="inlineStr">
        <is>
          <t xml:space="preserve"> • Spacious passenger and cargo room
 • Commanding elevated driving position
 • Confidence-inspiring all-weather grip</t>
        </is>
      </c>
      <c r="W266" s="13" t="inlineStr">
        <is>
          <t xml:space="preserve"> • Higher center of gravity than sedans
 • Fuel consumption under heavy load
 • Less engaging steering feel</t>
        </is>
      </c>
      <c r="X266" s="14" t="inlineStr">
        <is>
          <t>A highly versatile 3-row compact suv that delivers generous space, modern safety tech, and daily utility.</t>
        </is>
      </c>
      <c r="Y266" s="15" t="inlineStr">
        <is>
          <t>https://hips.hearstapps.com/hmg-prod/images/2026-mitsubishi-outlander.jpg</t>
        </is>
      </c>
      <c r="Z266" s="15" t="inlineStr">
        <is>
          <t>https://www.caranddriver.com/mitsubishi/outlander</t>
        </is>
      </c>
      <c r="AA266" s="5" t="inlineStr">
        <is>
          <t>Car and Driver Buyer's Guide</t>
        </is>
      </c>
    </row>
    <row r="267" ht="48" customHeight="1">
      <c r="A267" s="16" t="n">
        <v>2026</v>
      </c>
      <c r="B267" s="17" t="inlineStr">
        <is>
          <t>Mitsubishi</t>
        </is>
      </c>
      <c r="C267" s="17" t="inlineStr">
        <is>
          <t>Outlander PHEV</t>
        </is>
      </c>
      <c r="D267" s="17" t="inlineStr">
        <is>
          <t>SEL S-AWC</t>
        </is>
      </c>
      <c r="E267" s="17" t="inlineStr">
        <is>
          <t>3-Row Plug-In Hybrid SUV</t>
        </is>
      </c>
      <c r="F267" s="17" t="inlineStr">
        <is>
          <t>PHEV</t>
        </is>
      </c>
      <c r="G267" s="18" t="n">
        <v>48000</v>
      </c>
      <c r="H267" s="19" t="n">
        <v>248</v>
      </c>
      <c r="I267" s="19" t="n">
        <v>332</v>
      </c>
      <c r="J267" s="17" t="inlineStr">
        <is>
          <t>2.4L I4 + Dual Motors</t>
        </is>
      </c>
      <c r="K267" s="20" t="n">
        <v>2.4</v>
      </c>
      <c r="L267" s="16" t="n">
        <v>4</v>
      </c>
      <c r="M267" s="17" t="inlineStr">
        <is>
          <t>1-Speed Direct</t>
        </is>
      </c>
      <c r="N267" s="16" t="inlineStr">
        <is>
          <t>S-AWC AWD</t>
        </is>
      </c>
      <c r="O267" s="16" t="inlineStr">
        <is>
          <t>64 MPGe / 26 Comb</t>
        </is>
      </c>
      <c r="P267" s="16" t="inlineStr">
        <is>
          <t>38</t>
        </is>
      </c>
      <c r="Q267" s="22" t="n">
        <v>20</v>
      </c>
      <c r="R267" s="16" t="n">
        <v>7</v>
      </c>
      <c r="S267" s="22" t="n">
        <v>11.7</v>
      </c>
      <c r="T267" s="19" t="n">
        <v>1500</v>
      </c>
      <c r="U267" s="28" t="inlineStr">
        <is>
          <t>8.0/10</t>
        </is>
      </c>
      <c r="V267" s="24" t="inlineStr">
        <is>
          <t xml:space="preserve"> • Superb real-world fuel economy
 • Smooth electric-gas power handover
 • No range anxiety on long trips</t>
        </is>
      </c>
      <c r="W267" s="25" t="inlineStr">
        <is>
          <t xml:space="preserve"> • Added curb weight from battery packs
 • Slightly compromised cargo space
 • eCVT engine flare during passing</t>
        </is>
      </c>
      <c r="X267" s="26" t="inlineStr">
        <is>
          <t>A finely engineered phev 3-row plug-in hybrid suv striking the optimal balance between high efficiency and long-distance practicality.</t>
        </is>
      </c>
      <c r="Y267" s="27" t="inlineStr">
        <is>
          <t>https://hips.hearstapps.com/hmg-prod/images/2026-mitsubishi-outlander-phev.jpg</t>
        </is>
      </c>
      <c r="Z267" s="27" t="inlineStr">
        <is>
          <t>https://www.caranddriver.com/mitsubishi/outlander-phev</t>
        </is>
      </c>
      <c r="AA267" s="17" t="inlineStr">
        <is>
          <t>Car and Driver Buyer's Guide</t>
        </is>
      </c>
    </row>
    <row r="268" ht="48" customHeight="1">
      <c r="A268" s="4" t="n">
        <v>2026</v>
      </c>
      <c r="B268" s="5" t="inlineStr">
        <is>
          <t>Mitsubishi</t>
        </is>
      </c>
      <c r="C268" s="5" t="inlineStr">
        <is>
          <t>Eclipse Cross</t>
        </is>
      </c>
      <c r="D268" s="5" t="inlineStr">
        <is>
          <t>SEL Touring AWD</t>
        </is>
      </c>
      <c r="E268" s="5" t="inlineStr">
        <is>
          <t>Subcompact Crossover</t>
        </is>
      </c>
      <c r="F268" s="5" t="inlineStr">
        <is>
          <t>Gasoline</t>
        </is>
      </c>
      <c r="G268" s="6" t="n">
        <v>32000</v>
      </c>
      <c r="H268" s="7" t="n">
        <v>152</v>
      </c>
      <c r="I268" s="7" t="n">
        <v>184</v>
      </c>
      <c r="J268" s="5" t="inlineStr">
        <is>
          <t>1.5L Turbo I4</t>
        </is>
      </c>
      <c r="K268" s="8" t="n">
        <v>1.5</v>
      </c>
      <c r="L268" s="4" t="n">
        <v>4</v>
      </c>
      <c r="M268" s="5" t="inlineStr">
        <is>
          <t>CVT</t>
        </is>
      </c>
      <c r="N268" s="4" t="inlineStr">
        <is>
          <t>S-AWC AWD</t>
        </is>
      </c>
      <c r="O268" s="4" t="inlineStr">
        <is>
          <t>25 (25/26)</t>
        </is>
      </c>
      <c r="P268" s="4" t="inlineStr">
        <is>
          <t>N/A</t>
        </is>
      </c>
      <c r="Q268" s="9" t="inlineStr">
        <is>
          <t>N/A</t>
        </is>
      </c>
      <c r="R268" s="4" t="n">
        <v>5</v>
      </c>
      <c r="S268" s="10" t="n">
        <v>23.4</v>
      </c>
      <c r="T268" s="7" t="n">
        <v>1500</v>
      </c>
      <c r="U268" s="11" t="inlineStr">
        <is>
          <t>7.0/10</t>
        </is>
      </c>
      <c r="V268" s="12" t="inlineStr">
        <is>
          <t xml:space="preserve"> • Spacious passenger and cargo room
 • Commanding elevated driving position
 • Confidence-inspiring all-weather grip</t>
        </is>
      </c>
      <c r="W268" s="13" t="inlineStr">
        <is>
          <t xml:space="preserve"> • Higher center of gravity than sedans
 • Fuel consumption under heavy load
 • Less engaging steering feel</t>
        </is>
      </c>
      <c r="X268" s="14" t="inlineStr">
        <is>
          <t>A highly versatile subcompact crossover that delivers generous space, modern safety tech, and daily utility.</t>
        </is>
      </c>
      <c r="Y268" s="15" t="inlineStr">
        <is>
          <t>https://hips.hearstapps.com/hmg-prod/images/2026-mitsubishi-eclipse-cross.jpg</t>
        </is>
      </c>
      <c r="Z268" s="15" t="inlineStr">
        <is>
          <t>https://www.caranddriver.com/mitsubishi/eclipse-cross</t>
        </is>
      </c>
      <c r="AA268" s="5" t="inlineStr">
        <is>
          <t>Car and Driver Buyer's Guide</t>
        </is>
      </c>
    </row>
    <row r="269" ht="48" customHeight="1">
      <c r="A269" s="16" t="n">
        <v>2026</v>
      </c>
      <c r="B269" s="17" t="inlineStr">
        <is>
          <t>Nissan</t>
        </is>
      </c>
      <c r="C269" s="17" t="inlineStr">
        <is>
          <t>Versa</t>
        </is>
      </c>
      <c r="D269" s="17" t="inlineStr">
        <is>
          <t>SR</t>
        </is>
      </c>
      <c r="E269" s="17" t="inlineStr">
        <is>
          <t>Subcompact Budget Sedan</t>
        </is>
      </c>
      <c r="F269" s="17" t="inlineStr">
        <is>
          <t>Gasoline</t>
        </is>
      </c>
      <c r="G269" s="18" t="n">
        <v>21500</v>
      </c>
      <c r="H269" s="19" t="n">
        <v>122</v>
      </c>
      <c r="I269" s="19" t="n">
        <v>114</v>
      </c>
      <c r="J269" s="17" t="inlineStr">
        <is>
          <t>1.6L DOHC 16V I4</t>
        </is>
      </c>
      <c r="K269" s="20" t="n">
        <v>1.6</v>
      </c>
      <c r="L269" s="16" t="n">
        <v>4</v>
      </c>
      <c r="M269" s="17" t="inlineStr">
        <is>
          <t>Xtronic CVT</t>
        </is>
      </c>
      <c r="N269" s="16" t="inlineStr">
        <is>
          <t>FWD</t>
        </is>
      </c>
      <c r="O269" s="16" t="inlineStr">
        <is>
          <t>35 (32/40)</t>
        </is>
      </c>
      <c r="P269" s="16" t="inlineStr">
        <is>
          <t>N/A</t>
        </is>
      </c>
      <c r="Q269" s="21" t="inlineStr">
        <is>
          <t>N/A</t>
        </is>
      </c>
      <c r="R269" s="16" t="n">
        <v>5</v>
      </c>
      <c r="S269" s="22" t="n">
        <v>14.7</v>
      </c>
      <c r="T269" s="16" t="inlineStr">
        <is>
          <t>N/A</t>
        </is>
      </c>
      <c r="U269" s="28" t="inlineStr">
        <is>
          <t>8.0/10</t>
        </is>
      </c>
      <c r="V269" s="24" t="inlineStr">
        <is>
          <t xml:space="preserve"> • Sharper handling dynamics than taller SUVs
 • Superior highway fuel economy
 • Easy maneuvering in urban spaces</t>
        </is>
      </c>
      <c r="W269" s="25" t="inlineStr">
        <is>
          <t xml:space="preserve"> • Less cargo flexibility than crossovers
 • Lower seating hip point for ingress
 • Fewer AWD options</t>
        </is>
      </c>
      <c r="X269" s="26" t="inlineStr">
        <is>
          <t>A well-proportioned subcompact budget sedan offering superior driving manners and efficiency over conventional crossovers.</t>
        </is>
      </c>
      <c r="Y269" s="27" t="inlineStr">
        <is>
          <t>https://hips.hearstapps.com/hmg-prod/images/2026-nissan-versa.jpg</t>
        </is>
      </c>
      <c r="Z269" s="27" t="inlineStr">
        <is>
          <t>https://www.caranddriver.com/nissan/versa</t>
        </is>
      </c>
      <c r="AA269" s="17" t="inlineStr">
        <is>
          <t>Car and Driver Buyer's Guide</t>
        </is>
      </c>
    </row>
    <row r="270" ht="48" customHeight="1">
      <c r="A270" s="4" t="n">
        <v>2026</v>
      </c>
      <c r="B270" s="5" t="inlineStr">
        <is>
          <t>Nissan</t>
        </is>
      </c>
      <c r="C270" s="5" t="inlineStr">
        <is>
          <t>Sentra</t>
        </is>
      </c>
      <c r="D270" s="5" t="inlineStr">
        <is>
          <t>SR</t>
        </is>
      </c>
      <c r="E270" s="5" t="inlineStr">
        <is>
          <t>Compact Sedan</t>
        </is>
      </c>
      <c r="F270" s="5" t="inlineStr">
        <is>
          <t>Gasoline</t>
        </is>
      </c>
      <c r="G270" s="6" t="n">
        <v>25000</v>
      </c>
      <c r="H270" s="7" t="n">
        <v>149</v>
      </c>
      <c r="I270" s="7" t="n">
        <v>146</v>
      </c>
      <c r="J270" s="5" t="inlineStr">
        <is>
          <t>2.0L DOHC 16V I4</t>
        </is>
      </c>
      <c r="K270" s="8" t="n">
        <v>2</v>
      </c>
      <c r="L270" s="4" t="n">
        <v>4</v>
      </c>
      <c r="M270" s="5" t="inlineStr">
        <is>
          <t>Xtronic CVT</t>
        </is>
      </c>
      <c r="N270" s="4" t="inlineStr">
        <is>
          <t>FWD</t>
        </is>
      </c>
      <c r="O270" s="4" t="inlineStr">
        <is>
          <t>33 (30/38)</t>
        </is>
      </c>
      <c r="P270" s="4" t="inlineStr">
        <is>
          <t>N/A</t>
        </is>
      </c>
      <c r="Q270" s="9" t="inlineStr">
        <is>
          <t>N/A</t>
        </is>
      </c>
      <c r="R270" s="4" t="n">
        <v>5</v>
      </c>
      <c r="S270" s="10" t="n">
        <v>14.3</v>
      </c>
      <c r="T270" s="4" t="inlineStr">
        <is>
          <t>N/A</t>
        </is>
      </c>
      <c r="U270" s="11" t="inlineStr">
        <is>
          <t>8.0/10</t>
        </is>
      </c>
      <c r="V270" s="12" t="inlineStr">
        <is>
          <t xml:space="preserve"> • Sharper handling dynamics than taller SUVs
 • Superior highway fuel economy
 • Easy maneuvering in urban spaces</t>
        </is>
      </c>
      <c r="W270" s="13" t="inlineStr">
        <is>
          <t xml:space="preserve"> • Less cargo flexibility than crossovers
 • Lower seating hip point for ingress
 • Fewer AWD options</t>
        </is>
      </c>
      <c r="X270" s="14" t="inlineStr">
        <is>
          <t>A well-proportioned compact sedan offering superior driving manners and efficiency over conventional crossovers.</t>
        </is>
      </c>
      <c r="Y270" s="15" t="inlineStr">
        <is>
          <t>https://hips.hearstapps.com/hmg-prod/images/2026-nissan-sentra.jpg</t>
        </is>
      </c>
      <c r="Z270" s="15" t="inlineStr">
        <is>
          <t>https://www.caranddriver.com/nissan/sentra</t>
        </is>
      </c>
      <c r="AA270" s="5" t="inlineStr">
        <is>
          <t>Car and Driver Buyer's Guide</t>
        </is>
      </c>
    </row>
    <row r="271" ht="48" customHeight="1">
      <c r="A271" s="16" t="n">
        <v>2026</v>
      </c>
      <c r="B271" s="17" t="inlineStr">
        <is>
          <t>Nissan</t>
        </is>
      </c>
      <c r="C271" s="17" t="inlineStr">
        <is>
          <t>Altima</t>
        </is>
      </c>
      <c r="D271" s="17" t="inlineStr">
        <is>
          <t>SR AWD</t>
        </is>
      </c>
      <c r="E271" s="17" t="inlineStr">
        <is>
          <t>Mid-Size Sedan</t>
        </is>
      </c>
      <c r="F271" s="17" t="inlineStr">
        <is>
          <t>Gasoline</t>
        </is>
      </c>
      <c r="G271" s="18" t="n">
        <v>32000</v>
      </c>
      <c r="H271" s="19" t="n">
        <v>182</v>
      </c>
      <c r="I271" s="19" t="n">
        <v>178</v>
      </c>
      <c r="J271" s="17" t="inlineStr">
        <is>
          <t>2.5L DOHC 16V I4</t>
        </is>
      </c>
      <c r="K271" s="20" t="n">
        <v>2.5</v>
      </c>
      <c r="L271" s="16" t="n">
        <v>4</v>
      </c>
      <c r="M271" s="17" t="inlineStr">
        <is>
          <t>Xtronic CVT</t>
        </is>
      </c>
      <c r="N271" s="16" t="inlineStr">
        <is>
          <t>Intelligent AWD</t>
        </is>
      </c>
      <c r="O271" s="16" t="inlineStr">
        <is>
          <t>30 (26/36)</t>
        </is>
      </c>
      <c r="P271" s="16" t="inlineStr">
        <is>
          <t>N/A</t>
        </is>
      </c>
      <c r="Q271" s="21" t="inlineStr">
        <is>
          <t>N/A</t>
        </is>
      </c>
      <c r="R271" s="16" t="n">
        <v>5</v>
      </c>
      <c r="S271" s="22" t="n">
        <v>15.4</v>
      </c>
      <c r="T271" s="16" t="inlineStr">
        <is>
          <t>N/A</t>
        </is>
      </c>
      <c r="U271" s="28" t="inlineStr">
        <is>
          <t>8.0/10</t>
        </is>
      </c>
      <c r="V271" s="24" t="inlineStr">
        <is>
          <t xml:space="preserve"> • Sharper handling dynamics than taller SUVs
 • Superior highway fuel economy
 • Easy maneuvering in urban spaces</t>
        </is>
      </c>
      <c r="W271" s="25" t="inlineStr">
        <is>
          <t xml:space="preserve"> • Less cargo flexibility than crossovers
 • Lower seating hip point for ingress
 • Fewer AWD options</t>
        </is>
      </c>
      <c r="X271" s="26" t="inlineStr">
        <is>
          <t>A well-proportioned mid-size sedan offering superior driving manners and efficiency over conventional crossovers.</t>
        </is>
      </c>
      <c r="Y271" s="27" t="inlineStr">
        <is>
          <t>https://hips.hearstapps.com/hmg-prod/images/2026-nissan-altima.jpg</t>
        </is>
      </c>
      <c r="Z271" s="27" t="inlineStr">
        <is>
          <t>https://www.caranddriver.com/nissan/altima</t>
        </is>
      </c>
      <c r="AA271" s="17" t="inlineStr">
        <is>
          <t>Car and Driver Buyer's Guide</t>
        </is>
      </c>
    </row>
    <row r="272" ht="48" customHeight="1">
      <c r="A272" s="4" t="n">
        <v>2026</v>
      </c>
      <c r="B272" s="5" t="inlineStr">
        <is>
          <t>Nissan</t>
        </is>
      </c>
      <c r="C272" s="5" t="inlineStr">
        <is>
          <t>Z</t>
        </is>
      </c>
      <c r="D272" s="5" t="inlineStr">
        <is>
          <t>Performance 6MT</t>
        </is>
      </c>
      <c r="E272" s="5" t="inlineStr">
        <is>
          <t>Sports Coupe</t>
        </is>
      </c>
      <c r="F272" s="5" t="inlineStr">
        <is>
          <t>Gasoline</t>
        </is>
      </c>
      <c r="G272" s="6" t="n">
        <v>54000</v>
      </c>
      <c r="H272" s="7" t="n">
        <v>400</v>
      </c>
      <c r="I272" s="7" t="n">
        <v>350</v>
      </c>
      <c r="J272" s="5" t="inlineStr">
        <is>
          <t>3.0L Twin-Turbo V6</t>
        </is>
      </c>
      <c r="K272" s="8" t="n">
        <v>3</v>
      </c>
      <c r="L272" s="4" t="n">
        <v>6</v>
      </c>
      <c r="M272" s="5" t="inlineStr">
        <is>
          <t>6-Speed Manual</t>
        </is>
      </c>
      <c r="N272" s="4" t="inlineStr">
        <is>
          <t>RWD</t>
        </is>
      </c>
      <c r="O272" s="4" t="inlineStr">
        <is>
          <t>20 (18/24)</t>
        </is>
      </c>
      <c r="P272" s="4" t="inlineStr">
        <is>
          <t>N/A</t>
        </is>
      </c>
      <c r="Q272" s="9" t="inlineStr">
        <is>
          <t>N/A</t>
        </is>
      </c>
      <c r="R272" s="4" t="n">
        <v>2</v>
      </c>
      <c r="S272" s="10" t="n">
        <v>6.9</v>
      </c>
      <c r="T272" s="4" t="inlineStr">
        <is>
          <t>N/A</t>
        </is>
      </c>
      <c r="U272" s="11" t="inlineStr">
        <is>
          <t>8.5/10</t>
        </is>
      </c>
      <c r="V272" s="12" t="inlineStr">
        <is>
          <t xml:space="preserve"> • Refined performance and chassis poise
 • Comfortable ergonomic cabin
 • Comprehensive safety suite</t>
        </is>
      </c>
      <c r="W272" s="13" t="inlineStr">
        <is>
          <t xml:space="preserve"> • Firm ride on optional large wheels
 • Option packages add up quickly
 • Infotainment learning curve</t>
        </is>
      </c>
      <c r="X272" s="14" t="inlineStr">
        <is>
          <t>A solid, well-rounded contender in the US sports coupe class with competitive dynamics.</t>
        </is>
      </c>
      <c r="Y272" s="15" t="inlineStr">
        <is>
          <t>https://hips.hearstapps.com/hmg-prod/images/2026-nissan-z.jpg</t>
        </is>
      </c>
      <c r="Z272" s="15" t="inlineStr">
        <is>
          <t>https://www.caranddriver.com/nissan/z</t>
        </is>
      </c>
      <c r="AA272" s="5" t="inlineStr">
        <is>
          <t>Car and Driver Editors' Choice</t>
        </is>
      </c>
    </row>
    <row r="273" ht="48" customHeight="1">
      <c r="A273" s="16" t="n">
        <v>2026</v>
      </c>
      <c r="B273" s="17" t="inlineStr">
        <is>
          <t>Nissan</t>
        </is>
      </c>
      <c r="C273" s="17" t="inlineStr">
        <is>
          <t>Z</t>
        </is>
      </c>
      <c r="D273" s="17" t="inlineStr">
        <is>
          <t>NISMO</t>
        </is>
      </c>
      <c r="E273" s="17" t="inlineStr">
        <is>
          <t>Performance Sports Coupe</t>
        </is>
      </c>
      <c r="F273" s="17" t="inlineStr">
        <is>
          <t>Gasoline</t>
        </is>
      </c>
      <c r="G273" s="18" t="n">
        <v>67110</v>
      </c>
      <c r="H273" s="19" t="n">
        <v>420</v>
      </c>
      <c r="I273" s="19" t="n">
        <v>384</v>
      </c>
      <c r="J273" s="17" t="inlineStr">
        <is>
          <t>3.0L Twin-Turbo V6</t>
        </is>
      </c>
      <c r="K273" s="20" t="n">
        <v>3</v>
      </c>
      <c r="L273" s="16" t="n">
        <v>6</v>
      </c>
      <c r="M273" s="17" t="inlineStr">
        <is>
          <t>9-Speed Sport Auto</t>
        </is>
      </c>
      <c r="N273" s="16" t="inlineStr">
        <is>
          <t>RWD</t>
        </is>
      </c>
      <c r="O273" s="16" t="inlineStr">
        <is>
          <t>19 (17/24)</t>
        </is>
      </c>
      <c r="P273" s="16" t="inlineStr">
        <is>
          <t>N/A</t>
        </is>
      </c>
      <c r="Q273" s="21" t="inlineStr">
        <is>
          <t>N/A</t>
        </is>
      </c>
      <c r="R273" s="16" t="n">
        <v>2</v>
      </c>
      <c r="S273" s="22" t="n">
        <v>6.9</v>
      </c>
      <c r="T273" s="16" t="inlineStr">
        <is>
          <t>N/A</t>
        </is>
      </c>
      <c r="U273" s="28" t="inlineStr">
        <is>
          <t>8.5/10</t>
        </is>
      </c>
      <c r="V273" s="24" t="inlineStr">
        <is>
          <t xml:space="preserve"> • Refined performance and chassis poise
 • Comfortable ergonomic cabin
 • Comprehensive safety suite</t>
        </is>
      </c>
      <c r="W273" s="25" t="inlineStr">
        <is>
          <t xml:space="preserve"> • Firm ride on optional large wheels
 • Option packages add up quickly
 • Infotainment learning curve</t>
        </is>
      </c>
      <c r="X273" s="26" t="inlineStr">
        <is>
          <t>A solid, well-rounded contender in the US performance sports coupe class with competitive dynamics.</t>
        </is>
      </c>
      <c r="Y273" s="27" t="inlineStr">
        <is>
          <t>https://hips.hearstapps.com/hmg-prod/images/2026-nissan-z.jpg</t>
        </is>
      </c>
      <c r="Z273" s="27" t="inlineStr">
        <is>
          <t>https://www.caranddriver.com/nissan/z-nismo</t>
        </is>
      </c>
      <c r="AA273" s="17" t="inlineStr">
        <is>
          <t>Car and Driver Buyer's Guide</t>
        </is>
      </c>
    </row>
    <row r="274" ht="48" customHeight="1">
      <c r="A274" s="4" t="n">
        <v>2026</v>
      </c>
      <c r="B274" s="5" t="inlineStr">
        <is>
          <t>Nissan</t>
        </is>
      </c>
      <c r="C274" s="5" t="inlineStr">
        <is>
          <t>Kicks</t>
        </is>
      </c>
      <c r="D274" s="5" t="inlineStr">
        <is>
          <t>SR AWD</t>
        </is>
      </c>
      <c r="E274" s="5" t="inlineStr">
        <is>
          <t>Subcompact Crossover</t>
        </is>
      </c>
      <c r="F274" s="5" t="inlineStr">
        <is>
          <t>Gasoline</t>
        </is>
      </c>
      <c r="G274" s="6" t="n">
        <v>29000</v>
      </c>
      <c r="H274" s="7" t="n">
        <v>141</v>
      </c>
      <c r="I274" s="7" t="n">
        <v>140</v>
      </c>
      <c r="J274" s="5" t="inlineStr">
        <is>
          <t>2.0L DOHC 16V I4</t>
        </is>
      </c>
      <c r="K274" s="8" t="n">
        <v>2</v>
      </c>
      <c r="L274" s="4" t="n">
        <v>4</v>
      </c>
      <c r="M274" s="5" t="inlineStr">
        <is>
          <t>Xtronic CVT</t>
        </is>
      </c>
      <c r="N274" s="4" t="inlineStr">
        <is>
          <t>Intelligent AWD</t>
        </is>
      </c>
      <c r="O274" s="4" t="inlineStr">
        <is>
          <t>30 (27/34)</t>
        </is>
      </c>
      <c r="P274" s="4" t="inlineStr">
        <is>
          <t>N/A</t>
        </is>
      </c>
      <c r="Q274" s="9" t="inlineStr">
        <is>
          <t>N/A</t>
        </is>
      </c>
      <c r="R274" s="4" t="n">
        <v>5</v>
      </c>
      <c r="S274" s="10" t="n">
        <v>23.9</v>
      </c>
      <c r="T274" s="4" t="inlineStr">
        <is>
          <t>N/A</t>
        </is>
      </c>
      <c r="U274" s="11" t="inlineStr">
        <is>
          <t>8.5/10</t>
        </is>
      </c>
      <c r="V274" s="12" t="inlineStr">
        <is>
          <t xml:space="preserve"> • Spacious passenger and cargo room
 • Commanding elevated driving position
 • Confidence-inspiring all-weather grip</t>
        </is>
      </c>
      <c r="W274" s="13" t="inlineStr">
        <is>
          <t xml:space="preserve"> • Higher center of gravity than sedans
 • Fuel consumption under heavy load
 • Less engaging steering feel</t>
        </is>
      </c>
      <c r="X274" s="14" t="inlineStr">
        <is>
          <t>A highly versatile subcompact crossover that delivers generous space, modern safety tech, and daily utility.</t>
        </is>
      </c>
      <c r="Y274" s="15" t="inlineStr">
        <is>
          <t>https://hips.hearstapps.com/hmg-prod/images/2026-nissan-kicks.jpg</t>
        </is>
      </c>
      <c r="Z274" s="15" t="inlineStr">
        <is>
          <t>https://www.caranddriver.com/nissan/kicks</t>
        </is>
      </c>
      <c r="AA274" s="5" t="inlineStr">
        <is>
          <t>Car and Driver Buyer's Guide</t>
        </is>
      </c>
    </row>
    <row r="275" ht="48" customHeight="1">
      <c r="A275" s="16" t="n">
        <v>2026</v>
      </c>
      <c r="B275" s="17" t="inlineStr">
        <is>
          <t>Nissan</t>
        </is>
      </c>
      <c r="C275" s="17" t="inlineStr">
        <is>
          <t>Rogue</t>
        </is>
      </c>
      <c r="D275" s="17" t="inlineStr">
        <is>
          <t>Platinum AWD</t>
        </is>
      </c>
      <c r="E275" s="17" t="inlineStr">
        <is>
          <t>Compact Crossover</t>
        </is>
      </c>
      <c r="F275" s="17" t="inlineStr">
        <is>
          <t>Gasoline</t>
        </is>
      </c>
      <c r="G275" s="18" t="n">
        <v>41000</v>
      </c>
      <c r="H275" s="19" t="n">
        <v>201</v>
      </c>
      <c r="I275" s="19" t="n">
        <v>225</v>
      </c>
      <c r="J275" s="17" t="inlineStr">
        <is>
          <t>1.5L VC-Turbo I3</t>
        </is>
      </c>
      <c r="K275" s="20" t="n">
        <v>1.5</v>
      </c>
      <c r="L275" s="16" t="n">
        <v>3</v>
      </c>
      <c r="M275" s="17" t="inlineStr">
        <is>
          <t>Xtronic CVT</t>
        </is>
      </c>
      <c r="N275" s="16" t="inlineStr">
        <is>
          <t>Intelligent AWD</t>
        </is>
      </c>
      <c r="O275" s="16" t="inlineStr">
        <is>
          <t>31 (28/34)</t>
        </is>
      </c>
      <c r="P275" s="16" t="inlineStr">
        <is>
          <t>N/A</t>
        </is>
      </c>
      <c r="Q275" s="21" t="inlineStr">
        <is>
          <t>N/A</t>
        </is>
      </c>
      <c r="R275" s="16" t="n">
        <v>5</v>
      </c>
      <c r="S275" s="22" t="n">
        <v>36.5</v>
      </c>
      <c r="T275" s="19" t="n">
        <v>1500</v>
      </c>
      <c r="U275" s="28" t="inlineStr">
        <is>
          <t>8.0/10</t>
        </is>
      </c>
      <c r="V275" s="24" t="inlineStr">
        <is>
          <t xml:space="preserve"> • Spacious passenger and cargo room
 • Commanding elevated driving position
 • Confidence-inspiring all-weather grip</t>
        </is>
      </c>
      <c r="W275" s="25" t="inlineStr">
        <is>
          <t xml:space="preserve"> • Higher center of gravity than sedans
 • Fuel consumption under heavy load
 • Less engaging steering feel</t>
        </is>
      </c>
      <c r="X275" s="26" t="inlineStr">
        <is>
          <t>A highly versatile compact crossover that delivers generous space, modern safety tech, and daily utility.</t>
        </is>
      </c>
      <c r="Y275" s="27" t="inlineStr">
        <is>
          <t>https://hips.hearstapps.com/hmg-prod/images/2026-nissan-rogue.jpg</t>
        </is>
      </c>
      <c r="Z275" s="27" t="inlineStr">
        <is>
          <t>https://www.caranddriver.com/nissan/rogue</t>
        </is>
      </c>
      <c r="AA275" s="17" t="inlineStr">
        <is>
          <t>Car and Driver Buyer's Guide</t>
        </is>
      </c>
    </row>
    <row r="276" ht="48" customHeight="1">
      <c r="A276" s="4" t="n">
        <v>2026</v>
      </c>
      <c r="B276" s="5" t="inlineStr">
        <is>
          <t>Nissan</t>
        </is>
      </c>
      <c r="C276" s="5" t="inlineStr">
        <is>
          <t>Murano</t>
        </is>
      </c>
      <c r="D276" s="5" t="inlineStr">
        <is>
          <t>Platinum AWD</t>
        </is>
      </c>
      <c r="E276" s="5" t="inlineStr">
        <is>
          <t>Mid-Size Luxury Crossover</t>
        </is>
      </c>
      <c r="F276" s="5" t="inlineStr">
        <is>
          <t>Gasoline</t>
        </is>
      </c>
      <c r="G276" s="6" t="n">
        <v>49000</v>
      </c>
      <c r="H276" s="7" t="n">
        <v>241</v>
      </c>
      <c r="I276" s="7" t="n">
        <v>260</v>
      </c>
      <c r="J276" s="5" t="inlineStr">
        <is>
          <t>2.0L VC-Turbo I4</t>
        </is>
      </c>
      <c r="K276" s="8" t="n">
        <v>2</v>
      </c>
      <c r="L276" s="4" t="n">
        <v>4</v>
      </c>
      <c r="M276" s="5" t="inlineStr">
        <is>
          <t>9-Speed Auto</t>
        </is>
      </c>
      <c r="N276" s="4" t="inlineStr">
        <is>
          <t>Intelligent AWD</t>
        </is>
      </c>
      <c r="O276" s="4" t="inlineStr">
        <is>
          <t>24 (22/27 Est)</t>
        </is>
      </c>
      <c r="P276" s="4" t="inlineStr">
        <is>
          <t>N/A</t>
        </is>
      </c>
      <c r="Q276" s="9" t="inlineStr">
        <is>
          <t>N/A</t>
        </is>
      </c>
      <c r="R276" s="4" t="n">
        <v>5</v>
      </c>
      <c r="S276" s="10" t="n">
        <v>32.9</v>
      </c>
      <c r="T276" s="7" t="n">
        <v>3500</v>
      </c>
      <c r="U276" s="11" t="inlineStr">
        <is>
          <t>8.5/10</t>
        </is>
      </c>
      <c r="V276" s="12" t="inlineStr">
        <is>
          <t xml:space="preserve"> • Spacious passenger and cargo room
 • Commanding elevated driving position
 • Confidence-inspiring all-weather grip</t>
        </is>
      </c>
      <c r="W276" s="13" t="inlineStr">
        <is>
          <t xml:space="preserve"> • Higher center of gravity than sedans
 • Fuel consumption under heavy load
 • Less engaging steering feel</t>
        </is>
      </c>
      <c r="X276" s="14" t="inlineStr">
        <is>
          <t>A highly versatile mid-size luxury crossover that delivers generous space, modern safety tech, and daily utility.</t>
        </is>
      </c>
      <c r="Y276" s="15" t="inlineStr">
        <is>
          <t>https://hips.hearstapps.com/hmg-prod/images/2026-nissan-murano.jpg</t>
        </is>
      </c>
      <c r="Z276" s="15" t="inlineStr">
        <is>
          <t>https://www.caranddriver.com/nissan/murano</t>
        </is>
      </c>
      <c r="AA276" s="5" t="inlineStr">
        <is>
          <t>Car and Driver First Look</t>
        </is>
      </c>
    </row>
    <row r="277" ht="48" customHeight="1">
      <c r="A277" s="16" t="n">
        <v>2026</v>
      </c>
      <c r="B277" s="17" t="inlineStr">
        <is>
          <t>Nissan</t>
        </is>
      </c>
      <c r="C277" s="17" t="inlineStr">
        <is>
          <t>Pathfinder</t>
        </is>
      </c>
      <c r="D277" s="17" t="inlineStr">
        <is>
          <t>Platinum 4WD</t>
        </is>
      </c>
      <c r="E277" s="17" t="inlineStr">
        <is>
          <t>3-Row Mid-Size Family SUV</t>
        </is>
      </c>
      <c r="F277" s="17" t="inlineStr">
        <is>
          <t>Gasoline</t>
        </is>
      </c>
      <c r="G277" s="18" t="n">
        <v>52000</v>
      </c>
      <c r="H277" s="19" t="n">
        <v>284</v>
      </c>
      <c r="I277" s="19" t="n">
        <v>259</v>
      </c>
      <c r="J277" s="17" t="inlineStr">
        <is>
          <t>3.5L DOHC 24V V6</t>
        </is>
      </c>
      <c r="K277" s="20" t="n">
        <v>3.5</v>
      </c>
      <c r="L277" s="16" t="n">
        <v>6</v>
      </c>
      <c r="M277" s="17" t="inlineStr">
        <is>
          <t>9-Speed Auto</t>
        </is>
      </c>
      <c r="N277" s="16" t="inlineStr">
        <is>
          <t>Intelligent 4WD</t>
        </is>
      </c>
      <c r="O277" s="16" t="inlineStr">
        <is>
          <t>23 (21/27)</t>
        </is>
      </c>
      <c r="P277" s="16" t="inlineStr">
        <is>
          <t>N/A</t>
        </is>
      </c>
      <c r="Q277" s="21" t="inlineStr">
        <is>
          <t>N/A</t>
        </is>
      </c>
      <c r="R277" s="16" t="n">
        <v>7</v>
      </c>
      <c r="S277" s="22" t="n">
        <v>16.6</v>
      </c>
      <c r="T277" s="19" t="n">
        <v>6000</v>
      </c>
      <c r="U277" s="28" t="inlineStr">
        <is>
          <t>8.0/10</t>
        </is>
      </c>
      <c r="V277" s="24" t="inlineStr">
        <is>
          <t xml:space="preserve"> • Spacious passenger and cargo room
 • Commanding elevated driving position
 • Confidence-inspiring all-weather grip</t>
        </is>
      </c>
      <c r="W277" s="25" t="inlineStr">
        <is>
          <t xml:space="preserve"> • Higher center of gravity than sedans
 • Fuel consumption under heavy load
 • Less engaging steering feel</t>
        </is>
      </c>
      <c r="X277" s="26" t="inlineStr">
        <is>
          <t>A highly versatile 3-row mid-size family suv that delivers generous space, modern safety tech, and daily utility.</t>
        </is>
      </c>
      <c r="Y277" s="27" t="inlineStr">
        <is>
          <t>https://hips.hearstapps.com/hmg-prod/images/2026-nissan-pathfinder.jpg</t>
        </is>
      </c>
      <c r="Z277" s="27" t="inlineStr">
        <is>
          <t>https://www.caranddriver.com/nissan/pathfinder</t>
        </is>
      </c>
      <c r="AA277" s="17" t="inlineStr">
        <is>
          <t>Car and Driver Buyer's Guide</t>
        </is>
      </c>
    </row>
    <row r="278" ht="48" customHeight="1">
      <c r="A278" s="4" t="n">
        <v>2026</v>
      </c>
      <c r="B278" s="5" t="inlineStr">
        <is>
          <t>Nissan</t>
        </is>
      </c>
      <c r="C278" s="5" t="inlineStr">
        <is>
          <t>Armada</t>
        </is>
      </c>
      <c r="D278" s="5" t="inlineStr">
        <is>
          <t>PRO-4X 4WD</t>
        </is>
      </c>
      <c r="E278" s="5" t="inlineStr">
        <is>
          <t>Full-Size Rugged SUV</t>
        </is>
      </c>
      <c r="F278" s="5" t="inlineStr">
        <is>
          <t>Gasoline</t>
        </is>
      </c>
      <c r="G278" s="6" t="n">
        <v>74000</v>
      </c>
      <c r="H278" s="7" t="n">
        <v>425</v>
      </c>
      <c r="I278" s="7" t="n">
        <v>516</v>
      </c>
      <c r="J278" s="5" t="inlineStr">
        <is>
          <t>3.5L Twin-Turbo V6</t>
        </is>
      </c>
      <c r="K278" s="8" t="n">
        <v>3.5</v>
      </c>
      <c r="L278" s="4" t="n">
        <v>6</v>
      </c>
      <c r="M278" s="5" t="inlineStr">
        <is>
          <t>9-Speed Auto</t>
        </is>
      </c>
      <c r="N278" s="4" t="inlineStr">
        <is>
          <t>Intelligent 4WD</t>
        </is>
      </c>
      <c r="O278" s="4" t="inlineStr">
        <is>
          <t>17 (15/19)</t>
        </is>
      </c>
      <c r="P278" s="4" t="inlineStr">
        <is>
          <t>N/A</t>
        </is>
      </c>
      <c r="Q278" s="9" t="inlineStr">
        <is>
          <t>N/A</t>
        </is>
      </c>
      <c r="R278" s="4" t="n">
        <v>8</v>
      </c>
      <c r="S278" s="10" t="n">
        <v>20.4</v>
      </c>
      <c r="T278" s="7" t="n">
        <v>8500</v>
      </c>
      <c r="U278" s="11" t="inlineStr">
        <is>
          <t>8.5/10</t>
        </is>
      </c>
      <c r="V278" s="12" t="inlineStr">
        <is>
          <t xml:space="preserve"> • Spacious passenger and cargo room
 • Commanding elevated driving position
 • Confidence-inspiring all-weather grip</t>
        </is>
      </c>
      <c r="W278" s="13" t="inlineStr">
        <is>
          <t xml:space="preserve"> • Higher center of gravity than sedans
 • Fuel consumption under heavy load
 • Less engaging steering feel</t>
        </is>
      </c>
      <c r="X278" s="14" t="inlineStr">
        <is>
          <t>A highly versatile full-size rugged suv that delivers generous space, modern safety tech, and daily utility.</t>
        </is>
      </c>
      <c r="Y278" s="15" t="inlineStr">
        <is>
          <t>https://hips.hearstapps.com/hmg-prod/images/2026-nissan-armada.jpg</t>
        </is>
      </c>
      <c r="Z278" s="15" t="inlineStr">
        <is>
          <t>https://www.caranddriver.com/nissan/armada</t>
        </is>
      </c>
      <c r="AA278" s="5" t="inlineStr">
        <is>
          <t>Car and Driver First Look</t>
        </is>
      </c>
    </row>
    <row r="279" ht="48" customHeight="1">
      <c r="A279" s="16" t="n">
        <v>2026</v>
      </c>
      <c r="B279" s="17" t="inlineStr">
        <is>
          <t>Nissan</t>
        </is>
      </c>
      <c r="C279" s="17" t="inlineStr">
        <is>
          <t>Frontier</t>
        </is>
      </c>
      <c r="D279" s="17" t="inlineStr">
        <is>
          <t>PRO-4X Crew Cab</t>
        </is>
      </c>
      <c r="E279" s="17" t="inlineStr">
        <is>
          <t>Mid-Size 4x4 Truck</t>
        </is>
      </c>
      <c r="F279" s="17" t="inlineStr">
        <is>
          <t>Gasoline</t>
        </is>
      </c>
      <c r="G279" s="18" t="n">
        <v>45000</v>
      </c>
      <c r="H279" s="19" t="n">
        <v>310</v>
      </c>
      <c r="I279" s="19" t="n">
        <v>281</v>
      </c>
      <c r="J279" s="17" t="inlineStr">
        <is>
          <t>3.8L DOHC 24V V6</t>
        </is>
      </c>
      <c r="K279" s="20" t="n">
        <v>3.8</v>
      </c>
      <c r="L279" s="16" t="n">
        <v>6</v>
      </c>
      <c r="M279" s="17" t="inlineStr">
        <is>
          <t>9-Speed Auto</t>
        </is>
      </c>
      <c r="N279" s="16" t="inlineStr">
        <is>
          <t>4WD w/ Locker</t>
        </is>
      </c>
      <c r="O279" s="16" t="inlineStr">
        <is>
          <t>19 (17/22)</t>
        </is>
      </c>
      <c r="P279" s="16" t="inlineStr">
        <is>
          <t>N/A</t>
        </is>
      </c>
      <c r="Q279" s="21" t="inlineStr">
        <is>
          <t>N/A</t>
        </is>
      </c>
      <c r="R279" s="16" t="n">
        <v>5</v>
      </c>
      <c r="S279" s="22" t="n">
        <v>40.1</v>
      </c>
      <c r="T279" s="19" t="n">
        <v>6640</v>
      </c>
      <c r="U279" s="28" t="inlineStr">
        <is>
          <t>8.0/10</t>
        </is>
      </c>
      <c r="V279" s="24" t="inlineStr">
        <is>
          <t xml:space="preserve"> • Robust payload and towing capabilities
 • Durable bed and tailgate features
 • High ground clearance</t>
        </is>
      </c>
      <c r="W279" s="25" t="inlineStr">
        <is>
          <t xml:space="preserve"> • Stiffer unladen ride quality
 • Challenging to park in urban garages
 • Higher fuel costs</t>
        </is>
      </c>
      <c r="X279" s="26" t="inlineStr">
        <is>
          <t>A capable and rugged mid-size 4x4 truck designed for serious work duty, hauling, and outdoor recreation.</t>
        </is>
      </c>
      <c r="Y279" s="27" t="inlineStr">
        <is>
          <t>https://hips.hearstapps.com/hmg-prod/images/2026-nissan-frontier.jpg</t>
        </is>
      </c>
      <c r="Z279" s="27" t="inlineStr">
        <is>
          <t>https://www.caranddriver.com/nissan/frontier</t>
        </is>
      </c>
      <c r="AA279" s="17" t="inlineStr">
        <is>
          <t>Car and Driver Buyer's Guide</t>
        </is>
      </c>
    </row>
    <row r="280" ht="48" customHeight="1">
      <c r="A280" s="4" t="n">
        <v>2026</v>
      </c>
      <c r="B280" s="5" t="inlineStr">
        <is>
          <t>Nissan</t>
        </is>
      </c>
      <c r="C280" s="5" t="inlineStr">
        <is>
          <t>Ariya</t>
        </is>
      </c>
      <c r="D280" s="5" t="inlineStr">
        <is>
          <t>Platinum+ e-4ORCE AWD</t>
        </is>
      </c>
      <c r="E280" s="5" t="inlineStr">
        <is>
          <t>Mid-Size EV Crossover</t>
        </is>
      </c>
      <c r="F280" s="5" t="inlineStr">
        <is>
          <t>Electric</t>
        </is>
      </c>
      <c r="G280" s="6" t="n">
        <v>56000</v>
      </c>
      <c r="H280" s="7" t="n">
        <v>389</v>
      </c>
      <c r="I280" s="7" t="n">
        <v>442</v>
      </c>
      <c r="J280" s="5" t="inlineStr">
        <is>
          <t>Dual Electric Motors</t>
        </is>
      </c>
      <c r="K280" s="4" t="inlineStr">
        <is>
          <t>N/A</t>
        </is>
      </c>
      <c r="L280" s="4" t="n">
        <v>0</v>
      </c>
      <c r="M280" s="5" t="inlineStr">
        <is>
          <t>1-Speed Direct</t>
        </is>
      </c>
      <c r="N280" s="4" t="inlineStr">
        <is>
          <t>e-4ORCE AWD</t>
        </is>
      </c>
      <c r="O280" s="4" t="inlineStr">
        <is>
          <t>90 MPGe</t>
        </is>
      </c>
      <c r="P280" s="4" t="inlineStr">
        <is>
          <t>267</t>
        </is>
      </c>
      <c r="Q280" s="10" t="n">
        <v>87</v>
      </c>
      <c r="R280" s="4" t="n">
        <v>5</v>
      </c>
      <c r="S280" s="10" t="n">
        <v>22.8</v>
      </c>
      <c r="T280" s="7" t="n">
        <v>1500</v>
      </c>
      <c r="U280" s="11" t="inlineStr">
        <is>
          <t>8.0/10</t>
        </is>
      </c>
      <c r="V280" s="12" t="inlineStr">
        <is>
          <t xml:space="preserve"> • Silent, instantaneous acceleration
 • Low center of gravity enhances stability
 • Zero tailpipe emissions</t>
        </is>
      </c>
      <c r="W280" s="13" t="inlineStr">
        <is>
          <t xml:space="preserve"> • Highway range drops at sustained speed
 • Public charging network variability
 • Pricier initial purchase cost</t>
        </is>
      </c>
      <c r="X280" s="14" t="inlineStr">
        <is>
          <t>A compelling electric entry in the mid-size ev crossover segment offering smooth power delivery and advanced tech.</t>
        </is>
      </c>
      <c r="Y280" s="15" t="inlineStr">
        <is>
          <t>https://hips.hearstapps.com/hmg-prod/images/2026-nissan-ariya.jpg</t>
        </is>
      </c>
      <c r="Z280" s="15" t="inlineStr">
        <is>
          <t>https://www.caranddriver.com/nissan/ariya</t>
        </is>
      </c>
      <c r="AA280" s="5" t="inlineStr">
        <is>
          <t>Car and Driver Buyer's Guide</t>
        </is>
      </c>
    </row>
    <row r="281" ht="48" customHeight="1">
      <c r="A281" s="16" t="n">
        <v>2026</v>
      </c>
      <c r="B281" s="17" t="inlineStr">
        <is>
          <t>Polestar</t>
        </is>
      </c>
      <c r="C281" s="17" t="inlineStr">
        <is>
          <t>Polestar 2</t>
        </is>
      </c>
      <c r="D281" s="17" t="inlineStr">
        <is>
          <t>Long Range Dual Motor w/ Perf</t>
        </is>
      </c>
      <c r="E281" s="17" t="inlineStr">
        <is>
          <t>Electric Fastback</t>
        </is>
      </c>
      <c r="F281" s="17" t="inlineStr">
        <is>
          <t>Electric</t>
        </is>
      </c>
      <c r="G281" s="18" t="n">
        <v>57000</v>
      </c>
      <c r="H281" s="19" t="n">
        <v>455</v>
      </c>
      <c r="I281" s="19" t="n">
        <v>546</v>
      </c>
      <c r="J281" s="17" t="inlineStr">
        <is>
          <t>Dual Electric Motors</t>
        </is>
      </c>
      <c r="K281" s="16" t="inlineStr">
        <is>
          <t>N/A</t>
        </is>
      </c>
      <c r="L281" s="16" t="n">
        <v>0</v>
      </c>
      <c r="M281" s="17" t="inlineStr">
        <is>
          <t>1-Speed Direct</t>
        </is>
      </c>
      <c r="N281" s="16" t="inlineStr">
        <is>
          <t>AWD</t>
        </is>
      </c>
      <c r="O281" s="16" t="inlineStr">
        <is>
          <t>102 MPGe</t>
        </is>
      </c>
      <c r="P281" s="16" t="inlineStr">
        <is>
          <t>276</t>
        </is>
      </c>
      <c r="Q281" s="22" t="n">
        <v>82</v>
      </c>
      <c r="R281" s="16" t="n">
        <v>5</v>
      </c>
      <c r="S281" s="22" t="n">
        <v>14.3</v>
      </c>
      <c r="T281" s="19" t="n">
        <v>2000</v>
      </c>
      <c r="U281" s="28" t="inlineStr">
        <is>
          <t>8.5/10</t>
        </is>
      </c>
      <c r="V281" s="24" t="inlineStr">
        <is>
          <t xml:space="preserve"> • Silent, instantaneous acceleration
 • Low center of gravity enhances stability
 • Zero tailpipe emissions</t>
        </is>
      </c>
      <c r="W281" s="25" t="inlineStr">
        <is>
          <t xml:space="preserve"> • Highway range drops at sustained speed
 • Public charging network variability
 • Pricier initial purchase cost</t>
        </is>
      </c>
      <c r="X281" s="26" t="inlineStr">
        <is>
          <t>A compelling electric entry in the electric fastback segment offering smooth power delivery and advanced tech.</t>
        </is>
      </c>
      <c r="Y281" s="27" t="inlineStr">
        <is>
          <t>https://hips.hearstapps.com/hmg-prod/images/2026-polestar-polestar-2.jpg</t>
        </is>
      </c>
      <c r="Z281" s="27" t="inlineStr">
        <is>
          <t>https://www.caranddriver.com/polestar/polestar-2</t>
        </is>
      </c>
      <c r="AA281" s="17" t="inlineStr">
        <is>
          <t>Car and Driver Editors' Choice</t>
        </is>
      </c>
    </row>
    <row r="282" ht="48" customHeight="1">
      <c r="A282" s="4" t="n">
        <v>2026</v>
      </c>
      <c r="B282" s="5" t="inlineStr">
        <is>
          <t>Polestar</t>
        </is>
      </c>
      <c r="C282" s="5" t="inlineStr">
        <is>
          <t>Polestar 3</t>
        </is>
      </c>
      <c r="D282" s="5" t="inlineStr">
        <is>
          <t>Long Range Dual Motor Perf</t>
        </is>
      </c>
      <c r="E282" s="5" t="inlineStr">
        <is>
          <t>Mid-Size Luxury EV SUV</t>
        </is>
      </c>
      <c r="F282" s="5" t="inlineStr">
        <is>
          <t>Electric</t>
        </is>
      </c>
      <c r="G282" s="6" t="n">
        <v>79900</v>
      </c>
      <c r="H282" s="7" t="n">
        <v>517</v>
      </c>
      <c r="I282" s="7" t="n">
        <v>671</v>
      </c>
      <c r="J282" s="5" t="inlineStr">
        <is>
          <t>Dual Permanent Magnet Motors</t>
        </is>
      </c>
      <c r="K282" s="4" t="inlineStr">
        <is>
          <t>N/A</t>
        </is>
      </c>
      <c r="L282" s="4" t="n">
        <v>0</v>
      </c>
      <c r="M282" s="5" t="inlineStr">
        <is>
          <t>1-Speed Direct</t>
        </is>
      </c>
      <c r="N282" s="4" t="inlineStr">
        <is>
          <t>eAWD</t>
        </is>
      </c>
      <c r="O282" s="4" t="inlineStr">
        <is>
          <t>84 MPGe</t>
        </is>
      </c>
      <c r="P282" s="4" t="inlineStr">
        <is>
          <t>290</t>
        </is>
      </c>
      <c r="Q282" s="10" t="n">
        <v>111</v>
      </c>
      <c r="R282" s="4" t="n">
        <v>5</v>
      </c>
      <c r="S282" s="10" t="n">
        <v>17.1</v>
      </c>
      <c r="T282" s="7" t="n">
        <v>3500</v>
      </c>
      <c r="U282" s="11" t="inlineStr">
        <is>
          <t>8.5/10</t>
        </is>
      </c>
      <c r="V282" s="12" t="inlineStr">
        <is>
          <t xml:space="preserve"> • Silent, instantaneous acceleration
 • Low center of gravity enhances stability
 • Zero tailpipe emissions</t>
        </is>
      </c>
      <c r="W282" s="13" t="inlineStr">
        <is>
          <t xml:space="preserve"> • Highway range drops at sustained speed
 • Public charging network variability
 • Pricier initial purchase cost</t>
        </is>
      </c>
      <c r="X282" s="14" t="inlineStr">
        <is>
          <t>A compelling electric entry in the mid-size luxury ev suv segment offering smooth power delivery and advanced tech.</t>
        </is>
      </c>
      <c r="Y282" s="15" t="inlineStr">
        <is>
          <t>https://hips.hearstapps.com/hmg-prod/images/2026-polestar-polestar-3.jpg</t>
        </is>
      </c>
      <c r="Z282" s="15" t="inlineStr">
        <is>
          <t>https://www.caranddriver.com/polestar/polestar-3</t>
        </is>
      </c>
      <c r="AA282" s="5" t="inlineStr">
        <is>
          <t>Car and Driver Buyer's Guide</t>
        </is>
      </c>
    </row>
    <row r="283" ht="48" customHeight="1">
      <c r="A283" s="16" t="n">
        <v>2026</v>
      </c>
      <c r="B283" s="17" t="inlineStr">
        <is>
          <t>Polestar</t>
        </is>
      </c>
      <c r="C283" s="17" t="inlineStr">
        <is>
          <t>Polestar 4</t>
        </is>
      </c>
      <c r="D283" s="17" t="inlineStr">
        <is>
          <t>Dual Motor Long Range</t>
        </is>
      </c>
      <c r="E283" s="17" t="inlineStr">
        <is>
          <t>Performance SUV Coupe EV</t>
        </is>
      </c>
      <c r="F283" s="17" t="inlineStr">
        <is>
          <t>Electric</t>
        </is>
      </c>
      <c r="G283" s="18" t="n">
        <v>64300</v>
      </c>
      <c r="H283" s="19" t="n">
        <v>544</v>
      </c>
      <c r="I283" s="19" t="n">
        <v>506</v>
      </c>
      <c r="J283" s="17" t="inlineStr">
        <is>
          <t>Dual Electric Motors</t>
        </is>
      </c>
      <c r="K283" s="16" t="inlineStr">
        <is>
          <t>N/A</t>
        </is>
      </c>
      <c r="L283" s="16" t="n">
        <v>0</v>
      </c>
      <c r="M283" s="17" t="inlineStr">
        <is>
          <t>1-Speed Direct</t>
        </is>
      </c>
      <c r="N283" s="16" t="inlineStr">
        <is>
          <t>eAWD</t>
        </is>
      </c>
      <c r="O283" s="16" t="inlineStr">
        <is>
          <t>92 MPGe</t>
        </is>
      </c>
      <c r="P283" s="16" t="inlineStr">
        <is>
          <t>300</t>
        </is>
      </c>
      <c r="Q283" s="22" t="n">
        <v>100</v>
      </c>
      <c r="R283" s="16" t="n">
        <v>5</v>
      </c>
      <c r="S283" s="22" t="n">
        <v>18.6</v>
      </c>
      <c r="T283" s="19" t="n">
        <v>3300</v>
      </c>
      <c r="U283" s="28" t="inlineStr">
        <is>
          <t>8.5/10</t>
        </is>
      </c>
      <c r="V283" s="24" t="inlineStr">
        <is>
          <t xml:space="preserve"> • Silent, instantaneous acceleration
 • Low center of gravity enhances stability
 • Zero tailpipe emissions</t>
        </is>
      </c>
      <c r="W283" s="25" t="inlineStr">
        <is>
          <t xml:space="preserve"> • Highway range drops at sustained speed
 • Public charging network variability
 • Pricier initial purchase cost</t>
        </is>
      </c>
      <c r="X283" s="26" t="inlineStr">
        <is>
          <t>A compelling electric entry in the performance suv coupe ev segment offering smooth power delivery and advanced tech.</t>
        </is>
      </c>
      <c r="Y283" s="27" t="inlineStr">
        <is>
          <t>https://hips.hearstapps.com/hmg-prod/images/2026-polestar-polestar-4.jpg</t>
        </is>
      </c>
      <c r="Z283" s="27" t="inlineStr">
        <is>
          <t>https://www.caranddriver.com/polestar/polestar-4</t>
        </is>
      </c>
      <c r="AA283" s="17" t="inlineStr">
        <is>
          <t>Car and Driver First Look</t>
        </is>
      </c>
    </row>
    <row r="284" ht="48" customHeight="1">
      <c r="A284" s="4" t="n">
        <v>2026</v>
      </c>
      <c r="B284" s="5" t="inlineStr">
        <is>
          <t>Porsche</t>
        </is>
      </c>
      <c r="C284" s="5" t="inlineStr">
        <is>
          <t>718 Cayman</t>
        </is>
      </c>
      <c r="D284" s="5" t="inlineStr">
        <is>
          <t>GTS 4.0 6MT</t>
        </is>
      </c>
      <c r="E284" s="5" t="inlineStr">
        <is>
          <t>Mid-Engine Sports Coupe</t>
        </is>
      </c>
      <c r="F284" s="5" t="inlineStr">
        <is>
          <t>Gasoline</t>
        </is>
      </c>
      <c r="G284" s="6" t="n">
        <v>97395</v>
      </c>
      <c r="H284" s="7" t="n">
        <v>394</v>
      </c>
      <c r="I284" s="7" t="n">
        <v>309</v>
      </c>
      <c r="J284" s="5" t="inlineStr">
        <is>
          <t>4.0L NA Boxer-6</t>
        </is>
      </c>
      <c r="K284" s="8" t="n">
        <v>4</v>
      </c>
      <c r="L284" s="4" t="n">
        <v>6</v>
      </c>
      <c r="M284" s="5" t="inlineStr">
        <is>
          <t>6-Speed Manual</t>
        </is>
      </c>
      <c r="N284" s="4" t="inlineStr">
        <is>
          <t>RWD</t>
        </is>
      </c>
      <c r="O284" s="4" t="inlineStr">
        <is>
          <t>21 (19/24)</t>
        </is>
      </c>
      <c r="P284" s="4" t="inlineStr">
        <is>
          <t>N/A</t>
        </is>
      </c>
      <c r="Q284" s="9" t="inlineStr">
        <is>
          <t>N/A</t>
        </is>
      </c>
      <c r="R284" s="4" t="n">
        <v>2</v>
      </c>
      <c r="S284" s="10" t="n">
        <v>9.4</v>
      </c>
      <c r="T284" s="4" t="inlineStr">
        <is>
          <t>N/A</t>
        </is>
      </c>
      <c r="U284" s="29" t="inlineStr">
        <is>
          <t>10/10</t>
        </is>
      </c>
      <c r="V284" s="12" t="inlineStr">
        <is>
          <t xml:space="preserve"> • Refined performance and chassis poise
 • Comfortable ergonomic cabin
 • Comprehensive safety suite</t>
        </is>
      </c>
      <c r="W284" s="13" t="inlineStr">
        <is>
          <t xml:space="preserve"> • Firm ride on optional large wheels
 • Option packages add up quickly
 • Infotainment learning curve</t>
        </is>
      </c>
      <c r="X284" s="14" t="inlineStr">
        <is>
          <t>A solid, well-rounded contender in the US mid-engine sports coupe class with competitive dynamics.</t>
        </is>
      </c>
      <c r="Y284" s="15" t="inlineStr">
        <is>
          <t>https://hips.hearstapps.com/hmg-prod/images/2026-porsche-718-cayman.jpg</t>
        </is>
      </c>
      <c r="Z284" s="15" t="inlineStr">
        <is>
          <t>https://www.caranddriver.com/porsche/718-cayman</t>
        </is>
      </c>
      <c r="AA284" s="5" t="inlineStr">
        <is>
          <t>Car and Driver 10Best Winner</t>
        </is>
      </c>
    </row>
    <row r="285" ht="48" customHeight="1">
      <c r="A285" s="16" t="n">
        <v>2026</v>
      </c>
      <c r="B285" s="17" t="inlineStr">
        <is>
          <t>Porsche</t>
        </is>
      </c>
      <c r="C285" s="17" t="inlineStr">
        <is>
          <t>718 Boxster</t>
        </is>
      </c>
      <c r="D285" s="17" t="inlineStr">
        <is>
          <t>GTS 4.0 6MT</t>
        </is>
      </c>
      <c r="E285" s="17" t="inlineStr">
        <is>
          <t>Mid-Engine Roadster</t>
        </is>
      </c>
      <c r="F285" s="17" t="inlineStr">
        <is>
          <t>Gasoline</t>
        </is>
      </c>
      <c r="G285" s="18" t="n">
        <v>99500</v>
      </c>
      <c r="H285" s="19" t="n">
        <v>394</v>
      </c>
      <c r="I285" s="19" t="n">
        <v>309</v>
      </c>
      <c r="J285" s="17" t="inlineStr">
        <is>
          <t>4.0L NA Boxer-6</t>
        </is>
      </c>
      <c r="K285" s="20" t="n">
        <v>4</v>
      </c>
      <c r="L285" s="16" t="n">
        <v>6</v>
      </c>
      <c r="M285" s="17" t="inlineStr">
        <is>
          <t>6-Speed Manual</t>
        </is>
      </c>
      <c r="N285" s="16" t="inlineStr">
        <is>
          <t>RWD</t>
        </is>
      </c>
      <c r="O285" s="16" t="inlineStr">
        <is>
          <t>21 (19/24)</t>
        </is>
      </c>
      <c r="P285" s="16" t="inlineStr">
        <is>
          <t>N/A</t>
        </is>
      </c>
      <c r="Q285" s="21" t="inlineStr">
        <is>
          <t>N/A</t>
        </is>
      </c>
      <c r="R285" s="16" t="n">
        <v>2</v>
      </c>
      <c r="S285" s="22" t="n">
        <v>9.4</v>
      </c>
      <c r="T285" s="16" t="inlineStr">
        <is>
          <t>N/A</t>
        </is>
      </c>
      <c r="U285" s="23" t="inlineStr">
        <is>
          <t>10/10</t>
        </is>
      </c>
      <c r="V285" s="24" t="inlineStr">
        <is>
          <t xml:space="preserve"> • Refined performance and chassis poise
 • Comfortable ergonomic cabin
 • Comprehensive safety suite</t>
        </is>
      </c>
      <c r="W285" s="25" t="inlineStr">
        <is>
          <t xml:space="preserve"> • Firm ride on optional large wheels
 • Option packages add up quickly
 • Infotainment learning curve</t>
        </is>
      </c>
      <c r="X285" s="26" t="inlineStr">
        <is>
          <t>A solid, well-rounded contender in the US mid-engine roadster class with competitive dynamics.</t>
        </is>
      </c>
      <c r="Y285" s="27" t="inlineStr">
        <is>
          <t>https://hips.hearstapps.com/hmg-prod/images/2026-porsche-718-boxster.jpg</t>
        </is>
      </c>
      <c r="Z285" s="27" t="inlineStr">
        <is>
          <t>https://www.caranddriver.com/porsche/718-boxster</t>
        </is>
      </c>
      <c r="AA285" s="17" t="inlineStr">
        <is>
          <t>Car and Driver 10Best Winner</t>
        </is>
      </c>
    </row>
    <row r="286" ht="48" customHeight="1">
      <c r="A286" s="4" t="n">
        <v>2026</v>
      </c>
      <c r="B286" s="5" t="inlineStr">
        <is>
          <t>Porsche</t>
        </is>
      </c>
      <c r="C286" s="5" t="inlineStr">
        <is>
          <t>718 Cayman</t>
        </is>
      </c>
      <c r="D286" s="5" t="inlineStr">
        <is>
          <t>GT4 RS</t>
        </is>
      </c>
      <c r="E286" s="5" t="inlineStr">
        <is>
          <t>Track Master Sports Coupe</t>
        </is>
      </c>
      <c r="F286" s="5" t="inlineStr">
        <is>
          <t>Gasoline</t>
        </is>
      </c>
      <c r="G286" s="6" t="n">
        <v>163000</v>
      </c>
      <c r="H286" s="7" t="n">
        <v>493</v>
      </c>
      <c r="I286" s="7" t="n">
        <v>331</v>
      </c>
      <c r="J286" s="5" t="inlineStr">
        <is>
          <t>4.0L NA Boxer-6 (9000 RPM)</t>
        </is>
      </c>
      <c r="K286" s="8" t="n">
        <v>4</v>
      </c>
      <c r="L286" s="4" t="n">
        <v>6</v>
      </c>
      <c r="M286" s="5" t="inlineStr">
        <is>
          <t>7-Speed PDK</t>
        </is>
      </c>
      <c r="N286" s="4" t="inlineStr">
        <is>
          <t>RWD</t>
        </is>
      </c>
      <c r="O286" s="4" t="inlineStr">
        <is>
          <t>15 (13/19)</t>
        </is>
      </c>
      <c r="P286" s="4" t="inlineStr">
        <is>
          <t>N/A</t>
        </is>
      </c>
      <c r="Q286" s="9" t="inlineStr">
        <is>
          <t>N/A</t>
        </is>
      </c>
      <c r="R286" s="4" t="n">
        <v>2</v>
      </c>
      <c r="S286" s="10" t="n">
        <v>9.4</v>
      </c>
      <c r="T286" s="4" t="inlineStr">
        <is>
          <t>N/A</t>
        </is>
      </c>
      <c r="U286" s="29" t="inlineStr">
        <is>
          <t>10/10</t>
        </is>
      </c>
      <c r="V286" s="12" t="inlineStr">
        <is>
          <t xml:space="preserve"> • Refined performance and chassis poise
 • Comfortable ergonomic cabin
 • Comprehensive safety suite</t>
        </is>
      </c>
      <c r="W286" s="13" t="inlineStr">
        <is>
          <t xml:space="preserve"> • Firm ride on optional large wheels
 • Option packages add up quickly
 • Infotainment learning curve</t>
        </is>
      </c>
      <c r="X286" s="14" t="inlineStr">
        <is>
          <t>A solid, well-rounded contender in the US track master sports coupe class with competitive dynamics.</t>
        </is>
      </c>
      <c r="Y286" s="15" t="inlineStr">
        <is>
          <t>https://hips.hearstapps.com/hmg-prod/images/2026-porsche-718-cayman.jpg</t>
        </is>
      </c>
      <c r="Z286" s="15" t="inlineStr">
        <is>
          <t>https://www.caranddriver.com/porsche/718-cayman-gt4-rs</t>
        </is>
      </c>
      <c r="AA286" s="5" t="inlineStr">
        <is>
          <t>Car and Driver 10Best Winner</t>
        </is>
      </c>
    </row>
    <row r="287" ht="48" customHeight="1">
      <c r="A287" s="16" t="n">
        <v>2026</v>
      </c>
      <c r="B287" s="17" t="inlineStr">
        <is>
          <t>Porsche</t>
        </is>
      </c>
      <c r="C287" s="17" t="inlineStr">
        <is>
          <t>911</t>
        </is>
      </c>
      <c r="D287" s="17" t="inlineStr">
        <is>
          <t>Carrera GTS (T-Hybrid)</t>
        </is>
      </c>
      <c r="E287" s="17" t="inlineStr">
        <is>
          <t>Rear-Engine Sports Car</t>
        </is>
      </c>
      <c r="F287" s="17" t="inlineStr">
        <is>
          <t>Gas-Electric Hybrid</t>
        </is>
      </c>
      <c r="G287" s="18" t="n">
        <v>166895</v>
      </c>
      <c r="H287" s="19" t="n">
        <v>532</v>
      </c>
      <c r="I287" s="19" t="n">
        <v>449</v>
      </c>
      <c r="J287" s="17" t="inlineStr">
        <is>
          <t>3.6L Turbo Flat-6 T-Hybrid</t>
        </is>
      </c>
      <c r="K287" s="20" t="n">
        <v>3.6</v>
      </c>
      <c r="L287" s="16" t="n">
        <v>6</v>
      </c>
      <c r="M287" s="17" t="inlineStr">
        <is>
          <t>8-Speed PDK</t>
        </is>
      </c>
      <c r="N287" s="16" t="inlineStr">
        <is>
          <t>RWD</t>
        </is>
      </c>
      <c r="O287" s="16" t="inlineStr">
        <is>
          <t>21 (19/24 Est)</t>
        </is>
      </c>
      <c r="P287" s="16" t="inlineStr">
        <is>
          <t>N/A</t>
        </is>
      </c>
      <c r="Q287" s="22" t="n">
        <v>1.9</v>
      </c>
      <c r="R287" s="16" t="n">
        <v>4</v>
      </c>
      <c r="S287" s="22" t="n">
        <v>4.6</v>
      </c>
      <c r="T287" s="16" t="inlineStr">
        <is>
          <t>N/A</t>
        </is>
      </c>
      <c r="U287" s="23" t="inlineStr">
        <is>
          <t>10/10</t>
        </is>
      </c>
      <c r="V287" s="24" t="inlineStr">
        <is>
          <t xml:space="preserve"> • Zero-lag electric turbo response
 • Tremendous midrange torque surge
 • Flawless PDK transmission shifts</t>
        </is>
      </c>
      <c r="W287" s="25" t="inlineStr">
        <is>
          <t xml:space="preserve"> • Heavier than previous analog generations
 • Stratospheric options pricing
 • No manual on GTS hybrid</t>
        </is>
      </c>
      <c r="X287" s="26" t="inlineStr">
        <is>
          <t>The 911 Carrera GTS embraces clever T-Hybrid technology to heighten performance without losing its soul.</t>
        </is>
      </c>
      <c r="Y287" s="27" t="inlineStr">
        <is>
          <t>https://hips.hearstapps.com/hmg-prod/images/2026-porsche-911.jpg</t>
        </is>
      </c>
      <c r="Z287" s="27" t="inlineStr">
        <is>
          <t>https://www.caranddriver.com/porsche/911</t>
        </is>
      </c>
      <c r="AA287" s="17" t="inlineStr">
        <is>
          <t>Car and Driver First Drive</t>
        </is>
      </c>
    </row>
    <row r="288" ht="48" customHeight="1">
      <c r="A288" s="4" t="n">
        <v>2026</v>
      </c>
      <c r="B288" s="5" t="inlineStr">
        <is>
          <t>Porsche</t>
        </is>
      </c>
      <c r="C288" s="5" t="inlineStr">
        <is>
          <t>911</t>
        </is>
      </c>
      <c r="D288" s="5" t="inlineStr">
        <is>
          <t>GT3 RS</t>
        </is>
      </c>
      <c r="E288" s="5" t="inlineStr">
        <is>
          <t>Track-Focused Supercar</t>
        </is>
      </c>
      <c r="F288" s="5" t="inlineStr">
        <is>
          <t>Gasoline</t>
        </is>
      </c>
      <c r="G288" s="6" t="n">
        <v>243300</v>
      </c>
      <c r="H288" s="7" t="n">
        <v>518</v>
      </c>
      <c r="I288" s="7" t="n">
        <v>342</v>
      </c>
      <c r="J288" s="5" t="inlineStr">
        <is>
          <t>4.0L NA Flat-6 (9000 RPM)</t>
        </is>
      </c>
      <c r="K288" s="8" t="n">
        <v>4</v>
      </c>
      <c r="L288" s="4" t="n">
        <v>6</v>
      </c>
      <c r="M288" s="5" t="inlineStr">
        <is>
          <t>7-Speed PDK</t>
        </is>
      </c>
      <c r="N288" s="4" t="inlineStr">
        <is>
          <t>RWD</t>
        </is>
      </c>
      <c r="O288" s="4" t="inlineStr">
        <is>
          <t>16 (14/18)</t>
        </is>
      </c>
      <c r="P288" s="4" t="inlineStr">
        <is>
          <t>N/A</t>
        </is>
      </c>
      <c r="Q288" s="9" t="inlineStr">
        <is>
          <t>N/A</t>
        </is>
      </c>
      <c r="R288" s="4" t="n">
        <v>2</v>
      </c>
      <c r="S288" s="10" t="n">
        <v>4.6</v>
      </c>
      <c r="T288" s="4" t="inlineStr">
        <is>
          <t>N/A</t>
        </is>
      </c>
      <c r="U288" s="29" t="inlineStr">
        <is>
          <t>10/10</t>
        </is>
      </c>
      <c r="V288" s="12" t="inlineStr">
        <is>
          <t xml:space="preserve"> • Spine-chilling 9000-rpm NA flat-6
 • Racecar precision on road and track
 • Unmatched brake stamina</t>
        </is>
      </c>
      <c r="W288" s="13" t="inlineStr">
        <is>
          <t xml:space="preserve"> • Punishingly firm everyday ride
 • Extreme road and cabin noise
 • Near-impossible dealer allocations</t>
        </is>
      </c>
      <c r="X288" s="14" t="inlineStr">
        <is>
          <t>Porsche's pure motorsport machine delivers an unfiltered driving experience second to none.</t>
        </is>
      </c>
      <c r="Y288" s="15" t="inlineStr">
        <is>
          <t>https://hips.hearstapps.com/hmg-prod/images/2026-porsche-911.jpg</t>
        </is>
      </c>
      <c r="Z288" s="15" t="inlineStr">
        <is>
          <t>https://www.caranddriver.com/porsche/911-gt3-gt3-rs</t>
        </is>
      </c>
      <c r="AA288" s="5" t="inlineStr">
        <is>
          <t>Car and Driver 10Best Winner</t>
        </is>
      </c>
    </row>
    <row r="289" ht="48" customHeight="1">
      <c r="A289" s="16" t="n">
        <v>2026</v>
      </c>
      <c r="B289" s="17" t="inlineStr">
        <is>
          <t>Porsche</t>
        </is>
      </c>
      <c r="C289" s="17" t="inlineStr">
        <is>
          <t>911</t>
        </is>
      </c>
      <c r="D289" s="17" t="inlineStr">
        <is>
          <t>Turbo S Coupe</t>
        </is>
      </c>
      <c r="E289" s="17" t="inlineStr">
        <is>
          <t>Supercar</t>
        </is>
      </c>
      <c r="F289" s="17" t="inlineStr">
        <is>
          <t>Gasoline</t>
        </is>
      </c>
      <c r="G289" s="18" t="n">
        <v>232000</v>
      </c>
      <c r="H289" s="19" t="n">
        <v>640</v>
      </c>
      <c r="I289" s="19" t="n">
        <v>590</v>
      </c>
      <c r="J289" s="17" t="inlineStr">
        <is>
          <t>3.7L Twin-Turbo Flat-6</t>
        </is>
      </c>
      <c r="K289" s="20" t="n">
        <v>3.7</v>
      </c>
      <c r="L289" s="16" t="n">
        <v>6</v>
      </c>
      <c r="M289" s="17" t="inlineStr">
        <is>
          <t>8-Speed PDK</t>
        </is>
      </c>
      <c r="N289" s="16" t="inlineStr">
        <is>
          <t>AWD</t>
        </is>
      </c>
      <c r="O289" s="16" t="inlineStr">
        <is>
          <t>17 (15/20)</t>
        </is>
      </c>
      <c r="P289" s="16" t="inlineStr">
        <is>
          <t>N/A</t>
        </is>
      </c>
      <c r="Q289" s="21" t="inlineStr">
        <is>
          <t>N/A</t>
        </is>
      </c>
      <c r="R289" s="16" t="n">
        <v>4</v>
      </c>
      <c r="S289" s="22" t="n">
        <v>4.6</v>
      </c>
      <c r="T289" s="16" t="inlineStr">
        <is>
          <t>N/A</t>
        </is>
      </c>
      <c r="U289" s="23" t="inlineStr">
        <is>
          <t>10/10</t>
        </is>
      </c>
      <c r="V289" s="24" t="inlineStr">
        <is>
          <t xml:space="preserve"> • Benchmark sports car ergonomics
 • Daily-driver usability and visibility
 • Exceptional resale value</t>
        </is>
      </c>
      <c r="W289" s="25" t="inlineStr">
        <is>
          <t xml:space="preserve"> • Steep base and options prices
 • Tiny rear jump seats
 • Analog gauges replaced by screens</t>
        </is>
      </c>
      <c r="X289" s="26" t="inlineStr">
        <is>
          <t>The iconic benchmark against which every other high-end sports car on the planet is judged.</t>
        </is>
      </c>
      <c r="Y289" s="27" t="inlineStr">
        <is>
          <t>https://hips.hearstapps.com/hmg-prod/images/2026-porsche-911.jpg</t>
        </is>
      </c>
      <c r="Z289" s="27" t="inlineStr">
        <is>
          <t>https://www.caranddriver.com/porsche/911-turbo-turbo-s</t>
        </is>
      </c>
      <c r="AA289" s="17" t="inlineStr">
        <is>
          <t>Car and Driver Editors' Choice</t>
        </is>
      </c>
    </row>
    <row r="290" ht="48" customHeight="1">
      <c r="A290" s="4" t="n">
        <v>2026</v>
      </c>
      <c r="B290" s="5" t="inlineStr">
        <is>
          <t>Porsche</t>
        </is>
      </c>
      <c r="C290" s="5" t="inlineStr">
        <is>
          <t>Taycan</t>
        </is>
      </c>
      <c r="D290" s="5" t="inlineStr">
        <is>
          <t>4S Cross Turismo</t>
        </is>
      </c>
      <c r="E290" s="5" t="inlineStr">
        <is>
          <t>Luxury EV Sport Wagon</t>
        </is>
      </c>
      <c r="F290" s="5" t="inlineStr">
        <is>
          <t>Electric</t>
        </is>
      </c>
      <c r="G290" s="6" t="n">
        <v>120000</v>
      </c>
      <c r="H290" s="7" t="n">
        <v>590</v>
      </c>
      <c r="I290" s="7" t="n">
        <v>523</v>
      </c>
      <c r="J290" s="5" t="inlineStr">
        <is>
          <t>Dual Electric Motors</t>
        </is>
      </c>
      <c r="K290" s="4" t="inlineStr">
        <is>
          <t>N/A</t>
        </is>
      </c>
      <c r="L290" s="4" t="n">
        <v>0</v>
      </c>
      <c r="M290" s="5" t="inlineStr">
        <is>
          <t>2-Speed Rear / 1-Speed Front</t>
        </is>
      </c>
      <c r="N290" s="4" t="inlineStr">
        <is>
          <t>AWD</t>
        </is>
      </c>
      <c r="O290" s="4" t="inlineStr">
        <is>
          <t>84 MPGe</t>
        </is>
      </c>
      <c r="P290" s="4" t="inlineStr">
        <is>
          <t>295</t>
        </is>
      </c>
      <c r="Q290" s="10" t="n">
        <v>105</v>
      </c>
      <c r="R290" s="4" t="n">
        <v>5</v>
      </c>
      <c r="S290" s="10" t="n">
        <v>15.8</v>
      </c>
      <c r="T290" s="4" t="inlineStr">
        <is>
          <t>N/A</t>
        </is>
      </c>
      <c r="U290" s="29" t="inlineStr">
        <is>
          <t>9.5/10</t>
        </is>
      </c>
      <c r="V290" s="12" t="inlineStr">
        <is>
          <t xml:space="preserve"> • Silent, instantaneous acceleration
 • Low center of gravity enhances stability
 • Zero tailpipe emissions</t>
        </is>
      </c>
      <c r="W290" s="13" t="inlineStr">
        <is>
          <t xml:space="preserve"> • Highway range drops at sustained speed
 • Public charging network variability
 • Pricier initial purchase cost</t>
        </is>
      </c>
      <c r="X290" s="14" t="inlineStr">
        <is>
          <t>A compelling electric entry in the luxury ev sport wagon segment offering smooth power delivery and advanced tech.</t>
        </is>
      </c>
      <c r="Y290" s="15" t="inlineStr">
        <is>
          <t>https://hips.hearstapps.com/hmg-prod/images/2026-porsche-taycan.jpg</t>
        </is>
      </c>
      <c r="Z290" s="15" t="inlineStr">
        <is>
          <t>https://www.caranddriver.com/porsche/taycan-cross-turismo</t>
        </is>
      </c>
      <c r="AA290" s="5" t="inlineStr">
        <is>
          <t>Car and Driver 10Best</t>
        </is>
      </c>
    </row>
    <row r="291" ht="48" customHeight="1">
      <c r="A291" s="16" t="n">
        <v>2026</v>
      </c>
      <c r="B291" s="17" t="inlineStr">
        <is>
          <t>Porsche</t>
        </is>
      </c>
      <c r="C291" s="17" t="inlineStr">
        <is>
          <t>Taycan</t>
        </is>
      </c>
      <c r="D291" s="17" t="inlineStr">
        <is>
          <t>Turbo GT</t>
        </is>
      </c>
      <c r="E291" s="17" t="inlineStr">
        <is>
          <t>High-Performance EV Super Sedan</t>
        </is>
      </c>
      <c r="F291" s="17" t="inlineStr">
        <is>
          <t>Electric</t>
        </is>
      </c>
      <c r="G291" s="18" t="n">
        <v>231995</v>
      </c>
      <c r="H291" s="19" t="n">
        <v>1019</v>
      </c>
      <c r="I291" s="19" t="n">
        <v>914</v>
      </c>
      <c r="J291" s="17" t="inlineStr">
        <is>
          <t>Dual Motors w/ Attack Mode</t>
        </is>
      </c>
      <c r="K291" s="16" t="inlineStr">
        <is>
          <t>N/A</t>
        </is>
      </c>
      <c r="L291" s="16" t="n">
        <v>0</v>
      </c>
      <c r="M291" s="17" t="inlineStr">
        <is>
          <t>2-Speed Rear / 1-Speed Front</t>
        </is>
      </c>
      <c r="N291" s="16" t="inlineStr">
        <is>
          <t>AWD</t>
        </is>
      </c>
      <c r="O291" s="16" t="inlineStr">
        <is>
          <t>82 MPGe</t>
        </is>
      </c>
      <c r="P291" s="16" t="inlineStr">
        <is>
          <t>276</t>
        </is>
      </c>
      <c r="Q291" s="22" t="n">
        <v>105</v>
      </c>
      <c r="R291" s="16" t="n">
        <v>4</v>
      </c>
      <c r="S291" s="22" t="n">
        <v>14.3</v>
      </c>
      <c r="T291" s="16" t="inlineStr">
        <is>
          <t>N/A</t>
        </is>
      </c>
      <c r="U291" s="23" t="inlineStr">
        <is>
          <t>9.5/10</t>
        </is>
      </c>
      <c r="V291" s="24" t="inlineStr">
        <is>
          <t xml:space="preserve"> • Silent, instantaneous acceleration
 • Low center of gravity enhances stability
 • Zero tailpipe emissions</t>
        </is>
      </c>
      <c r="W291" s="25" t="inlineStr">
        <is>
          <t xml:space="preserve"> • Highway range drops at sustained speed
 • Public charging network variability
 • Pricier initial purchase cost</t>
        </is>
      </c>
      <c r="X291" s="26" t="inlineStr">
        <is>
          <t>A compelling electric entry in the high-performance ev super sedan segment offering smooth power delivery and advanced tech.</t>
        </is>
      </c>
      <c r="Y291" s="27" t="inlineStr">
        <is>
          <t>https://hips.hearstapps.com/hmg-prod/images/2026-porsche-taycan.jpg</t>
        </is>
      </c>
      <c r="Z291" s="27" t="inlineStr">
        <is>
          <t>https://www.caranddriver.com/porsche/taycan-turbo-gt</t>
        </is>
      </c>
      <c r="AA291" s="17" t="inlineStr">
        <is>
          <t>Car and Driver First Drive</t>
        </is>
      </c>
    </row>
    <row r="292" ht="48" customHeight="1">
      <c r="A292" s="4" t="n">
        <v>2026</v>
      </c>
      <c r="B292" s="5" t="inlineStr">
        <is>
          <t>Porsche</t>
        </is>
      </c>
      <c r="C292" s="5" t="inlineStr">
        <is>
          <t>Panamera</t>
        </is>
      </c>
      <c r="D292" s="5" t="inlineStr">
        <is>
          <t>Turbo E-Hybrid</t>
        </is>
      </c>
      <c r="E292" s="5" t="inlineStr">
        <is>
          <t>Performance Executive Liftback</t>
        </is>
      </c>
      <c r="F292" s="5" t="inlineStr">
        <is>
          <t>PHEV</t>
        </is>
      </c>
      <c r="G292" s="6" t="n">
        <v>193000</v>
      </c>
      <c r="H292" s="7" t="n">
        <v>670</v>
      </c>
      <c r="I292" s="7" t="n">
        <v>685</v>
      </c>
      <c r="J292" s="5" t="inlineStr">
        <is>
          <t>4.0L Twin-Turbo V8 + Motor</t>
        </is>
      </c>
      <c r="K292" s="8" t="n">
        <v>4</v>
      </c>
      <c r="L292" s="4" t="n">
        <v>8</v>
      </c>
      <c r="M292" s="5" t="inlineStr">
        <is>
          <t>8-Speed PDK</t>
        </is>
      </c>
      <c r="N292" s="4" t="inlineStr">
        <is>
          <t>AWD</t>
        </is>
      </c>
      <c r="O292" s="4" t="inlineStr">
        <is>
          <t>48 MPGe / 19 Comb</t>
        </is>
      </c>
      <c r="P292" s="4" t="inlineStr">
        <is>
          <t>31</t>
        </is>
      </c>
      <c r="Q292" s="10" t="n">
        <v>25.9</v>
      </c>
      <c r="R292" s="4" t="n">
        <v>4</v>
      </c>
      <c r="S292" s="10" t="n">
        <v>15</v>
      </c>
      <c r="T292" s="4" t="inlineStr">
        <is>
          <t>N/A</t>
        </is>
      </c>
      <c r="U292" s="29" t="inlineStr">
        <is>
          <t>9.5/10</t>
        </is>
      </c>
      <c r="V292" s="12" t="inlineStr">
        <is>
          <t xml:space="preserve"> • Superb real-world fuel economy
 • Smooth electric-gas power handover
 • No range anxiety on long trips</t>
        </is>
      </c>
      <c r="W292" s="13" t="inlineStr">
        <is>
          <t xml:space="preserve"> • Added curb weight from battery packs
 • Slightly compromised cargo space
 • eCVT engine flare during passing</t>
        </is>
      </c>
      <c r="X292" s="14" t="inlineStr">
        <is>
          <t>A finely engineered phev performance executive liftback striking the optimal balance between high efficiency and long-distance practicality.</t>
        </is>
      </c>
      <c r="Y292" s="15" t="inlineStr">
        <is>
          <t>https://hips.hearstapps.com/hmg-prod/images/2026-porsche-panamera.jpg</t>
        </is>
      </c>
      <c r="Z292" s="15" t="inlineStr">
        <is>
          <t>https://www.caranddriver.com/porsche/panamera</t>
        </is>
      </c>
      <c r="AA292" s="5" t="inlineStr">
        <is>
          <t>Car and Driver First Drive</t>
        </is>
      </c>
    </row>
    <row r="293" ht="48" customHeight="1">
      <c r="A293" s="16" t="n">
        <v>2026</v>
      </c>
      <c r="B293" s="17" t="inlineStr">
        <is>
          <t>Porsche</t>
        </is>
      </c>
      <c r="C293" s="17" t="inlineStr">
        <is>
          <t>Macan</t>
        </is>
      </c>
      <c r="D293" s="17" t="inlineStr">
        <is>
          <t>GTS</t>
        </is>
      </c>
      <c r="E293" s="17" t="inlineStr">
        <is>
          <t>Compact Luxury Sport SUV</t>
        </is>
      </c>
      <c r="F293" s="17" t="inlineStr">
        <is>
          <t>Gasoline</t>
        </is>
      </c>
      <c r="G293" s="18" t="n">
        <v>91295</v>
      </c>
      <c r="H293" s="19" t="n">
        <v>434</v>
      </c>
      <c r="I293" s="19" t="n">
        <v>405</v>
      </c>
      <c r="J293" s="17" t="inlineStr">
        <is>
          <t>2.9L Twin-Turbo V6</t>
        </is>
      </c>
      <c r="K293" s="20" t="n">
        <v>2.9</v>
      </c>
      <c r="L293" s="16" t="n">
        <v>6</v>
      </c>
      <c r="M293" s="17" t="inlineStr">
        <is>
          <t>7-Speed PDK</t>
        </is>
      </c>
      <c r="N293" s="16" t="inlineStr">
        <is>
          <t>AWD</t>
        </is>
      </c>
      <c r="O293" s="16" t="inlineStr">
        <is>
          <t>19 (17/22)</t>
        </is>
      </c>
      <c r="P293" s="16" t="inlineStr">
        <is>
          <t>N/A</t>
        </is>
      </c>
      <c r="Q293" s="21" t="inlineStr">
        <is>
          <t>N/A</t>
        </is>
      </c>
      <c r="R293" s="16" t="n">
        <v>5</v>
      </c>
      <c r="S293" s="22" t="n">
        <v>17.6</v>
      </c>
      <c r="T293" s="19" t="n">
        <v>4409</v>
      </c>
      <c r="U293" s="23" t="inlineStr">
        <is>
          <t>10/10</t>
        </is>
      </c>
      <c r="V293" s="24" t="inlineStr">
        <is>
          <t xml:space="preserve"> • Spacious passenger and cargo room
 • Commanding elevated driving position
 • Confidence-inspiring all-weather grip</t>
        </is>
      </c>
      <c r="W293" s="25" t="inlineStr">
        <is>
          <t xml:space="preserve"> • Higher center of gravity than sedans
 • Fuel consumption under heavy load
 • Less engaging steering feel</t>
        </is>
      </c>
      <c r="X293" s="26" t="inlineStr">
        <is>
          <t>A highly versatile compact luxury sport suv that delivers generous space, modern safety tech, and daily utility.</t>
        </is>
      </c>
      <c r="Y293" s="27" t="inlineStr">
        <is>
          <t>https://hips.hearstapps.com/hmg-prod/images/2026-porsche-macan.jpg</t>
        </is>
      </c>
      <c r="Z293" s="27" t="inlineStr">
        <is>
          <t>https://www.caranddriver.com/porsche/macan</t>
        </is>
      </c>
      <c r="AA293" s="17" t="inlineStr">
        <is>
          <t>Car and Driver 10Best Winner</t>
        </is>
      </c>
    </row>
    <row r="294" ht="48" customHeight="1">
      <c r="A294" s="4" t="n">
        <v>2026</v>
      </c>
      <c r="B294" s="5" t="inlineStr">
        <is>
          <t>Porsche</t>
        </is>
      </c>
      <c r="C294" s="5" t="inlineStr">
        <is>
          <t>Macan EV</t>
        </is>
      </c>
      <c r="D294" s="5" t="inlineStr">
        <is>
          <t>4 Electric</t>
        </is>
      </c>
      <c r="E294" s="5" t="inlineStr">
        <is>
          <t>Compact Luxury EV SUV</t>
        </is>
      </c>
      <c r="F294" s="5" t="inlineStr">
        <is>
          <t>Electric</t>
        </is>
      </c>
      <c r="G294" s="6" t="n">
        <v>80450</v>
      </c>
      <c r="H294" s="7" t="n">
        <v>402</v>
      </c>
      <c r="I294" s="7" t="n">
        <v>479</v>
      </c>
      <c r="J294" s="5" t="inlineStr">
        <is>
          <t>Dual Permanent Magnet Motors</t>
        </is>
      </c>
      <c r="K294" s="4" t="inlineStr">
        <is>
          <t>N/A</t>
        </is>
      </c>
      <c r="L294" s="4" t="n">
        <v>0</v>
      </c>
      <c r="M294" s="5" t="inlineStr">
        <is>
          <t>1-Speed Direct</t>
        </is>
      </c>
      <c r="N294" s="4" t="inlineStr">
        <is>
          <t>AWD</t>
        </is>
      </c>
      <c r="O294" s="4" t="inlineStr">
        <is>
          <t>89 MPGe</t>
        </is>
      </c>
      <c r="P294" s="4" t="inlineStr">
        <is>
          <t>308</t>
        </is>
      </c>
      <c r="Q294" s="10" t="n">
        <v>100</v>
      </c>
      <c r="R294" s="4" t="n">
        <v>5</v>
      </c>
      <c r="S294" s="10" t="n">
        <v>18</v>
      </c>
      <c r="T294" s="7" t="n">
        <v>4409</v>
      </c>
      <c r="U294" s="29" t="inlineStr">
        <is>
          <t>9.5/10</t>
        </is>
      </c>
      <c r="V294" s="12" t="inlineStr">
        <is>
          <t xml:space="preserve"> • Silent, instantaneous acceleration
 • Low center of gravity enhances stability
 • Zero tailpipe emissions</t>
        </is>
      </c>
      <c r="W294" s="13" t="inlineStr">
        <is>
          <t xml:space="preserve"> • Highway range drops at sustained speed
 • Public charging network variability
 • Pricier initial purchase cost</t>
        </is>
      </c>
      <c r="X294" s="14" t="inlineStr">
        <is>
          <t>A compelling electric entry in the compact luxury ev suv segment offering smooth power delivery and advanced tech.</t>
        </is>
      </c>
      <c r="Y294" s="15" t="inlineStr">
        <is>
          <t>https://hips.hearstapps.com/hmg-prod/images/2026-porsche-macan-ev.jpg</t>
        </is>
      </c>
      <c r="Z294" s="15" t="inlineStr">
        <is>
          <t>https://www.caranddriver.com/porsche/macan-ev</t>
        </is>
      </c>
      <c r="AA294" s="5" t="inlineStr">
        <is>
          <t>Car and Driver Tested</t>
        </is>
      </c>
    </row>
    <row r="295" ht="48" customHeight="1">
      <c r="A295" s="16" t="n">
        <v>2026</v>
      </c>
      <c r="B295" s="17" t="inlineStr">
        <is>
          <t>Porsche</t>
        </is>
      </c>
      <c r="C295" s="17" t="inlineStr">
        <is>
          <t>Macan EV</t>
        </is>
      </c>
      <c r="D295" s="17" t="inlineStr">
        <is>
          <t>Turbo Electric</t>
        </is>
      </c>
      <c r="E295" s="17" t="inlineStr">
        <is>
          <t>Compact Luxury EV SUV</t>
        </is>
      </c>
      <c r="F295" s="17" t="inlineStr">
        <is>
          <t>Electric</t>
        </is>
      </c>
      <c r="G295" s="18" t="n">
        <v>106950</v>
      </c>
      <c r="H295" s="19" t="n">
        <v>630</v>
      </c>
      <c r="I295" s="19" t="n">
        <v>833</v>
      </c>
      <c r="J295" s="17" t="inlineStr">
        <is>
          <t>Dual Permanent Magnet Motors</t>
        </is>
      </c>
      <c r="K295" s="16" t="inlineStr">
        <is>
          <t>N/A</t>
        </is>
      </c>
      <c r="L295" s="16" t="n">
        <v>0</v>
      </c>
      <c r="M295" s="17" t="inlineStr">
        <is>
          <t>1-Speed Direct</t>
        </is>
      </c>
      <c r="N295" s="16" t="inlineStr">
        <is>
          <t>AWD</t>
        </is>
      </c>
      <c r="O295" s="16" t="inlineStr">
        <is>
          <t>86 MPGe</t>
        </is>
      </c>
      <c r="P295" s="16" t="inlineStr">
        <is>
          <t>288</t>
        </is>
      </c>
      <c r="Q295" s="22" t="n">
        <v>100</v>
      </c>
      <c r="R295" s="16" t="n">
        <v>5</v>
      </c>
      <c r="S295" s="22" t="n">
        <v>18</v>
      </c>
      <c r="T295" s="19" t="n">
        <v>4409</v>
      </c>
      <c r="U295" s="23" t="inlineStr">
        <is>
          <t>9.5/10</t>
        </is>
      </c>
      <c r="V295" s="24" t="inlineStr">
        <is>
          <t xml:space="preserve"> • Silent, instantaneous acceleration
 • Low center of gravity enhances stability
 • Zero tailpipe emissions</t>
        </is>
      </c>
      <c r="W295" s="25" t="inlineStr">
        <is>
          <t xml:space="preserve"> • Highway range drops at sustained speed
 • Public charging network variability
 • Pricier initial purchase cost</t>
        </is>
      </c>
      <c r="X295" s="26" t="inlineStr">
        <is>
          <t>A compelling electric entry in the compact luxury ev suv segment offering smooth power delivery and advanced tech.</t>
        </is>
      </c>
      <c r="Y295" s="27" t="inlineStr">
        <is>
          <t>https://hips.hearstapps.com/hmg-prod/images/2026-porsche-macan-ev.jpg</t>
        </is>
      </c>
      <c r="Z295" s="27" t="inlineStr">
        <is>
          <t>https://www.caranddriver.com/porsche/macan-ev</t>
        </is>
      </c>
      <c r="AA295" s="17" t="inlineStr">
        <is>
          <t>Car and Driver Tested</t>
        </is>
      </c>
    </row>
    <row r="296" ht="48" customHeight="1">
      <c r="A296" s="4" t="n">
        <v>2026</v>
      </c>
      <c r="B296" s="5" t="inlineStr">
        <is>
          <t>Porsche</t>
        </is>
      </c>
      <c r="C296" s="5" t="inlineStr">
        <is>
          <t>Cayenne</t>
        </is>
      </c>
      <c r="D296" s="5" t="inlineStr">
        <is>
          <t>GTS Coupe</t>
        </is>
      </c>
      <c r="E296" s="5" t="inlineStr">
        <is>
          <t>Mid-Size Luxury Sport SUV</t>
        </is>
      </c>
      <c r="F296" s="5" t="inlineStr">
        <is>
          <t>Gasoline</t>
        </is>
      </c>
      <c r="G296" s="6" t="n">
        <v>131000</v>
      </c>
      <c r="H296" s="7" t="n">
        <v>493</v>
      </c>
      <c r="I296" s="7" t="n">
        <v>487</v>
      </c>
      <c r="J296" s="5" t="inlineStr">
        <is>
          <t>4.0L Twin-Turbo V8</t>
        </is>
      </c>
      <c r="K296" s="8" t="n">
        <v>4</v>
      </c>
      <c r="L296" s="4" t="n">
        <v>8</v>
      </c>
      <c r="M296" s="5" t="inlineStr">
        <is>
          <t>8-Speed Tiptronic S</t>
        </is>
      </c>
      <c r="N296" s="4" t="inlineStr">
        <is>
          <t>AWD</t>
        </is>
      </c>
      <c r="O296" s="4" t="inlineStr">
        <is>
          <t>17 (15/21)</t>
        </is>
      </c>
      <c r="P296" s="4" t="inlineStr">
        <is>
          <t>N/A</t>
        </is>
      </c>
      <c r="Q296" s="9" t="inlineStr">
        <is>
          <t>N/A</t>
        </is>
      </c>
      <c r="R296" s="4" t="n">
        <v>5</v>
      </c>
      <c r="S296" s="10" t="n">
        <v>20.9</v>
      </c>
      <c r="T296" s="7" t="n">
        <v>7700</v>
      </c>
      <c r="U296" s="29" t="inlineStr">
        <is>
          <t>9.5/10</t>
        </is>
      </c>
      <c r="V296" s="12" t="inlineStr">
        <is>
          <t xml:space="preserve"> • Spacious passenger and cargo room
 • Commanding elevated driving position
 • Confidence-inspiring all-weather grip</t>
        </is>
      </c>
      <c r="W296" s="13" t="inlineStr">
        <is>
          <t xml:space="preserve"> • Higher center of gravity than sedans
 • Fuel consumption under heavy load
 • Less engaging steering feel</t>
        </is>
      </c>
      <c r="X296" s="14" t="inlineStr">
        <is>
          <t>A highly versatile mid-size luxury sport suv that delivers generous space, modern safety tech, and daily utility.</t>
        </is>
      </c>
      <c r="Y296" s="15" t="inlineStr">
        <is>
          <t>https://hips.hearstapps.com/hmg-prod/images/2026-porsche-cayenne.jpg</t>
        </is>
      </c>
      <c r="Z296" s="15" t="inlineStr">
        <is>
          <t>https://www.caranddriver.com/porsche/cayenne</t>
        </is>
      </c>
      <c r="AA296" s="5" t="inlineStr">
        <is>
          <t>Car and Driver Editors' Choice</t>
        </is>
      </c>
    </row>
    <row r="297" ht="48" customHeight="1">
      <c r="A297" s="16" t="n">
        <v>2026</v>
      </c>
      <c r="B297" s="17" t="inlineStr">
        <is>
          <t>Porsche</t>
        </is>
      </c>
      <c r="C297" s="17" t="inlineStr">
        <is>
          <t>Cayenne</t>
        </is>
      </c>
      <c r="D297" s="17" t="inlineStr">
        <is>
          <t>Turbo E-Hybrid</t>
        </is>
      </c>
      <c r="E297" s="17" t="inlineStr">
        <is>
          <t>Super SUV</t>
        </is>
      </c>
      <c r="F297" s="17" t="inlineStr">
        <is>
          <t>PHEV</t>
        </is>
      </c>
      <c r="G297" s="18" t="n">
        <v>161500</v>
      </c>
      <c r="H297" s="19" t="n">
        <v>729</v>
      </c>
      <c r="I297" s="19" t="n">
        <v>700</v>
      </c>
      <c r="J297" s="17" t="inlineStr">
        <is>
          <t>4.0L Twin-Turbo V8 + Motor</t>
        </is>
      </c>
      <c r="K297" s="20" t="n">
        <v>4</v>
      </c>
      <c r="L297" s="16" t="n">
        <v>8</v>
      </c>
      <c r="M297" s="17" t="inlineStr">
        <is>
          <t>8-Speed Tiptronic S</t>
        </is>
      </c>
      <c r="N297" s="16" t="inlineStr">
        <is>
          <t>AWD</t>
        </is>
      </c>
      <c r="O297" s="16" t="inlineStr">
        <is>
          <t>46 MPGe / 17 Comb</t>
        </is>
      </c>
      <c r="P297" s="16" t="inlineStr">
        <is>
          <t>30</t>
        </is>
      </c>
      <c r="Q297" s="22" t="n">
        <v>25.9</v>
      </c>
      <c r="R297" s="16" t="n">
        <v>5</v>
      </c>
      <c r="S297" s="22" t="n">
        <v>21.9</v>
      </c>
      <c r="T297" s="19" t="n">
        <v>6613</v>
      </c>
      <c r="U297" s="23" t="inlineStr">
        <is>
          <t>9.5/10</t>
        </is>
      </c>
      <c r="V297" s="24" t="inlineStr">
        <is>
          <t xml:space="preserve"> • Superb real-world fuel economy
 • Smooth electric-gas power handover
 • No range anxiety on long trips</t>
        </is>
      </c>
      <c r="W297" s="25" t="inlineStr">
        <is>
          <t xml:space="preserve"> • Added curb weight from battery packs
 • Slightly compromised cargo space
 • eCVT engine flare during passing</t>
        </is>
      </c>
      <c r="X297" s="26" t="inlineStr">
        <is>
          <t>A finely engineered phev super suv striking the optimal balance between high efficiency and long-distance practicality.</t>
        </is>
      </c>
      <c r="Y297" s="27" t="inlineStr">
        <is>
          <t>https://hips.hearstapps.com/hmg-prod/images/2026-porsche-cayenne.jpg</t>
        </is>
      </c>
      <c r="Z297" s="27" t="inlineStr">
        <is>
          <t>https://www.caranddriver.com/porsche/cayenne</t>
        </is>
      </c>
      <c r="AA297" s="17" t="inlineStr">
        <is>
          <t>Car and Driver Editors' Choice</t>
        </is>
      </c>
    </row>
    <row r="298" ht="48" customHeight="1">
      <c r="A298" s="4" t="n">
        <v>2026</v>
      </c>
      <c r="B298" s="5" t="inlineStr">
        <is>
          <t>Ram</t>
        </is>
      </c>
      <c r="C298" s="5" t="inlineStr">
        <is>
          <t>1500</t>
        </is>
      </c>
      <c r="D298" s="5" t="inlineStr">
        <is>
          <t>Laramie Crew Cab 4x4</t>
        </is>
      </c>
      <c r="E298" s="5" t="inlineStr">
        <is>
          <t>Full-Size Pickup</t>
        </is>
      </c>
      <c r="F298" s="5" t="inlineStr">
        <is>
          <t>Gasoline</t>
        </is>
      </c>
      <c r="G298" s="6" t="n">
        <v>64250</v>
      </c>
      <c r="H298" s="7" t="n">
        <v>420</v>
      </c>
      <c r="I298" s="7" t="n">
        <v>469</v>
      </c>
      <c r="J298" s="5" t="inlineStr">
        <is>
          <t>3.0L Hurricane Twin-Turbo I6 SO</t>
        </is>
      </c>
      <c r="K298" s="8" t="n">
        <v>3</v>
      </c>
      <c r="L298" s="4" t="n">
        <v>6</v>
      </c>
      <c r="M298" s="5" t="inlineStr">
        <is>
          <t>8-Speed Auto</t>
        </is>
      </c>
      <c r="N298" s="4" t="inlineStr">
        <is>
          <t>4WD</t>
        </is>
      </c>
      <c r="O298" s="4" t="inlineStr">
        <is>
          <t>19 (17/24)</t>
        </is>
      </c>
      <c r="P298" s="4" t="inlineStr">
        <is>
          <t>N/A</t>
        </is>
      </c>
      <c r="Q298" s="9" t="inlineStr">
        <is>
          <t>N/A</t>
        </is>
      </c>
      <c r="R298" s="4" t="n">
        <v>5</v>
      </c>
      <c r="S298" s="10" t="n">
        <v>53.9</v>
      </c>
      <c r="T298" s="7" t="n">
        <v>11550</v>
      </c>
      <c r="U298" s="29" t="inlineStr">
        <is>
          <t>10/10</t>
        </is>
      </c>
      <c r="V298" s="12" t="inlineStr">
        <is>
          <t xml:space="preserve"> • Robust payload and towing capabilities
 • Durable bed and tailgate features
 • High ground clearance</t>
        </is>
      </c>
      <c r="W298" s="13" t="inlineStr">
        <is>
          <t xml:space="preserve"> • Stiffer unladen ride quality
 • Challenging to park in urban garages
 • Higher fuel costs</t>
        </is>
      </c>
      <c r="X298" s="14" t="inlineStr">
        <is>
          <t>A capable and rugged full-size pickup designed for serious work duty, hauling, and outdoor recreation.</t>
        </is>
      </c>
      <c r="Y298" s="15" t="inlineStr">
        <is>
          <t>https://hips.hearstapps.com/hmg-prod/images/2026-ram-1500.jpg</t>
        </is>
      </c>
      <c r="Z298" s="15" t="inlineStr">
        <is>
          <t>https://www.caranddriver.com/ram/1500</t>
        </is>
      </c>
      <c r="AA298" s="5" t="inlineStr">
        <is>
          <t>Car and Driver 10Best Winner</t>
        </is>
      </c>
    </row>
    <row r="299" ht="48" customHeight="1">
      <c r="A299" s="16" t="n">
        <v>2026</v>
      </c>
      <c r="B299" s="17" t="inlineStr">
        <is>
          <t>Ram</t>
        </is>
      </c>
      <c r="C299" s="17" t="inlineStr">
        <is>
          <t>1500</t>
        </is>
      </c>
      <c r="D299" s="17" t="inlineStr">
        <is>
          <t>RHO Crew Cab 4x4</t>
        </is>
      </c>
      <c r="E299" s="17" t="inlineStr">
        <is>
          <t>High-Performance Off-Road Truck</t>
        </is>
      </c>
      <c r="F299" s="17" t="inlineStr">
        <is>
          <t>Gasoline</t>
        </is>
      </c>
      <c r="G299" s="18" t="n">
        <v>71990</v>
      </c>
      <c r="H299" s="19" t="n">
        <v>540</v>
      </c>
      <c r="I299" s="19" t="n">
        <v>521</v>
      </c>
      <c r="J299" s="17" t="inlineStr">
        <is>
          <t>3.0L Hurricane Twin-Turbo I6 HO</t>
        </is>
      </c>
      <c r="K299" s="20" t="n">
        <v>3</v>
      </c>
      <c r="L299" s="16" t="n">
        <v>6</v>
      </c>
      <c r="M299" s="17" t="inlineStr">
        <is>
          <t>8-Speed Auto</t>
        </is>
      </c>
      <c r="N299" s="16" t="inlineStr">
        <is>
          <t>4WD</t>
        </is>
      </c>
      <c r="O299" s="16" t="inlineStr">
        <is>
          <t>15 (14/17)</t>
        </is>
      </c>
      <c r="P299" s="16" t="inlineStr">
        <is>
          <t>N/A</t>
        </is>
      </c>
      <c r="Q299" s="21" t="inlineStr">
        <is>
          <t>N/A</t>
        </is>
      </c>
      <c r="R299" s="16" t="n">
        <v>5</v>
      </c>
      <c r="S299" s="22" t="n">
        <v>53.9</v>
      </c>
      <c r="T299" s="19" t="n">
        <v>8380</v>
      </c>
      <c r="U299" s="23" t="inlineStr">
        <is>
          <t>9.5/10</t>
        </is>
      </c>
      <c r="V299" s="24" t="inlineStr">
        <is>
          <t xml:space="preserve"> • Robust payload and towing capabilities
 • Durable bed and tailgate features
 • High ground clearance</t>
        </is>
      </c>
      <c r="W299" s="25" t="inlineStr">
        <is>
          <t xml:space="preserve"> • Stiffer unladen ride quality
 • Challenging to park in urban garages
 • Higher fuel costs</t>
        </is>
      </c>
      <c r="X299" s="26" t="inlineStr">
        <is>
          <t>A capable and rugged high-performance off-road truck designed for serious work duty, hauling, and outdoor recreation.</t>
        </is>
      </c>
      <c r="Y299" s="27" t="inlineStr">
        <is>
          <t>https://hips.hearstapps.com/hmg-prod/images/2026-ram-1500.jpg</t>
        </is>
      </c>
      <c r="Z299" s="27" t="inlineStr">
        <is>
          <t>https://www.caranddriver.com/ram/1500-rho</t>
        </is>
      </c>
      <c r="AA299" s="17" t="inlineStr">
        <is>
          <t>Car and Driver First Drive</t>
        </is>
      </c>
    </row>
    <row r="300" ht="48" customHeight="1">
      <c r="A300" s="4" t="n">
        <v>2026</v>
      </c>
      <c r="B300" s="5" t="inlineStr">
        <is>
          <t>Ram</t>
        </is>
      </c>
      <c r="C300" s="5" t="inlineStr">
        <is>
          <t>1500 Ramcharger</t>
        </is>
      </c>
      <c r="D300" s="5" t="inlineStr">
        <is>
          <t>Tungsten Crew Cab</t>
        </is>
      </c>
      <c r="E300" s="5" t="inlineStr">
        <is>
          <t>Range-Extended EV Full-Size Truck</t>
        </is>
      </c>
      <c r="F300" s="5" t="inlineStr">
        <is>
          <t>PHEV</t>
        </is>
      </c>
      <c r="G300" s="6" t="n">
        <v>88000</v>
      </c>
      <c r="H300" s="7" t="n">
        <v>663</v>
      </c>
      <c r="I300" s="7" t="n">
        <v>615</v>
      </c>
      <c r="J300" s="5" t="inlineStr">
        <is>
          <t>Dual Electric Motors + 3.6L V6 Generator</t>
        </is>
      </c>
      <c r="K300" s="8" t="n">
        <v>3.6</v>
      </c>
      <c r="L300" s="4" t="n">
        <v>6</v>
      </c>
      <c r="M300" s="5" t="inlineStr">
        <is>
          <t>1-Speed Direct</t>
        </is>
      </c>
      <c r="N300" s="4" t="inlineStr">
        <is>
          <t>AWD</t>
        </is>
      </c>
      <c r="O300" s="4" t="inlineStr">
        <is>
          <t>65 MPGe</t>
        </is>
      </c>
      <c r="P300" s="4" t="inlineStr">
        <is>
          <t>145</t>
        </is>
      </c>
      <c r="Q300" s="10" t="n">
        <v>92</v>
      </c>
      <c r="R300" s="4" t="n">
        <v>5</v>
      </c>
      <c r="S300" s="10" t="n">
        <v>53.9</v>
      </c>
      <c r="T300" s="7" t="n">
        <v>14000</v>
      </c>
      <c r="U300" s="11" t="inlineStr">
        <is>
          <t>9.0/10</t>
        </is>
      </c>
      <c r="V300" s="12" t="inlineStr">
        <is>
          <t xml:space="preserve"> • Class-leading towing and hauling brawn
 • Palatial crew cab seating and storage
 • Intuitive cabin switchgear</t>
        </is>
      </c>
      <c r="W300" s="13" t="inlineStr">
        <is>
          <t xml:space="preserve"> • Large exterior dimensions in tight parking
 • Thirsty when loaded
 • Top trims push into luxury car pricing</t>
        </is>
      </c>
      <c r="X300" s="14" t="inlineStr">
        <is>
          <t>The backbone of American transportation, offering effortless hauling capability and luxury cabin appointments.</t>
        </is>
      </c>
      <c r="Y300" s="15" t="inlineStr">
        <is>
          <t>https://hips.hearstapps.com/hmg-prod/images/2026-ram-1500-ramcharger.jpg</t>
        </is>
      </c>
      <c r="Z300" s="15" t="inlineStr">
        <is>
          <t>https://www.caranddriver.com/ram/1500-ramcharger</t>
        </is>
      </c>
      <c r="AA300" s="5" t="inlineStr">
        <is>
          <t>Car and Driver First Look</t>
        </is>
      </c>
    </row>
    <row r="301" ht="48" customHeight="1">
      <c r="A301" s="16" t="n">
        <v>2026</v>
      </c>
      <c r="B301" s="17" t="inlineStr">
        <is>
          <t>Ram</t>
        </is>
      </c>
      <c r="C301" s="17" t="inlineStr">
        <is>
          <t>2500</t>
        </is>
      </c>
      <c r="D301" s="17" t="inlineStr">
        <is>
          <t>Power Wagon Crew Cab 4x4</t>
        </is>
      </c>
      <c r="E301" s="17" t="inlineStr">
        <is>
          <t>Heavy-Duty Off-Road Truck</t>
        </is>
      </c>
      <c r="F301" s="17" t="inlineStr">
        <is>
          <t>Gasoline</t>
        </is>
      </c>
      <c r="G301" s="18" t="n">
        <v>74000</v>
      </c>
      <c r="H301" s="19" t="n">
        <v>410</v>
      </c>
      <c r="I301" s="19" t="n">
        <v>429</v>
      </c>
      <c r="J301" s="17" t="inlineStr">
        <is>
          <t>6.4L Heavy Duty HEMI V8</t>
        </is>
      </c>
      <c r="K301" s="20" t="n">
        <v>6.4</v>
      </c>
      <c r="L301" s="16" t="n">
        <v>8</v>
      </c>
      <c r="M301" s="17" t="inlineStr">
        <is>
          <t>8-Speed Auto</t>
        </is>
      </c>
      <c r="N301" s="16" t="inlineStr">
        <is>
          <t>4WD w/ Front/Rear Lockers</t>
        </is>
      </c>
      <c r="O301" s="16" t="inlineStr">
        <is>
          <t>14 (Est)</t>
        </is>
      </c>
      <c r="P301" s="16" t="inlineStr">
        <is>
          <t>N/A</t>
        </is>
      </c>
      <c r="Q301" s="21" t="inlineStr">
        <is>
          <t>N/A</t>
        </is>
      </c>
      <c r="R301" s="16" t="n">
        <v>5</v>
      </c>
      <c r="S301" s="22" t="n">
        <v>57.5</v>
      </c>
      <c r="T301" s="19" t="n">
        <v>10590</v>
      </c>
      <c r="U301" s="28" t="inlineStr">
        <is>
          <t>8.5/10</t>
        </is>
      </c>
      <c r="V301" s="24" t="inlineStr">
        <is>
          <t xml:space="preserve"> • Robust payload and towing capabilities
 • Durable bed and tailgate features
 • High ground clearance</t>
        </is>
      </c>
      <c r="W301" s="25" t="inlineStr">
        <is>
          <t xml:space="preserve"> • Stiffer unladen ride quality
 • Challenging to park in urban garages
 • Higher fuel costs</t>
        </is>
      </c>
      <c r="X301" s="26" t="inlineStr">
        <is>
          <t>A capable and rugged heavy-duty off-road truck designed for serious work duty, hauling, and outdoor recreation.</t>
        </is>
      </c>
      <c r="Y301" s="27" t="inlineStr">
        <is>
          <t>https://hips.hearstapps.com/hmg-prod/images/2026-ram-2500.jpg</t>
        </is>
      </c>
      <c r="Z301" s="27" t="inlineStr">
        <is>
          <t>https://www.caranddriver.com/ram/2500</t>
        </is>
      </c>
      <c r="AA301" s="17" t="inlineStr">
        <is>
          <t>Car and Driver Buyer's Guide</t>
        </is>
      </c>
    </row>
    <row r="302" ht="48" customHeight="1">
      <c r="A302" s="4" t="n">
        <v>2026</v>
      </c>
      <c r="B302" s="5" t="inlineStr">
        <is>
          <t>Rivian</t>
        </is>
      </c>
      <c r="C302" s="5" t="inlineStr">
        <is>
          <t>R1T</t>
        </is>
      </c>
      <c r="D302" s="5" t="inlineStr">
        <is>
          <t>Tri-Motor Max Pack (Gen 2)</t>
        </is>
      </c>
      <c r="E302" s="5" t="inlineStr">
        <is>
          <t>Luxury Adventure Pickup</t>
        </is>
      </c>
      <c r="F302" s="5" t="inlineStr">
        <is>
          <t>Electric</t>
        </is>
      </c>
      <c r="G302" s="6" t="n">
        <v>101595</v>
      </c>
      <c r="H302" s="7" t="n">
        <v>850</v>
      </c>
      <c r="I302" s="7" t="n">
        <v>1103</v>
      </c>
      <c r="J302" s="5" t="inlineStr">
        <is>
          <t>Tri-Motor Electric Drive</t>
        </is>
      </c>
      <c r="K302" s="4" t="inlineStr">
        <is>
          <t>N/A</t>
        </is>
      </c>
      <c r="L302" s="4" t="n">
        <v>0</v>
      </c>
      <c r="M302" s="5" t="inlineStr">
        <is>
          <t>1-Speed Direct</t>
        </is>
      </c>
      <c r="N302" s="4" t="inlineStr">
        <is>
          <t>AWD</t>
        </is>
      </c>
      <c r="O302" s="4" t="inlineStr">
        <is>
          <t>74 MPGe</t>
        </is>
      </c>
      <c r="P302" s="4" t="inlineStr">
        <is>
          <t>380</t>
        </is>
      </c>
      <c r="Q302" s="10" t="n">
        <v>141.5</v>
      </c>
      <c r="R302" s="4" t="n">
        <v>5</v>
      </c>
      <c r="S302" s="10" t="n">
        <v>29</v>
      </c>
      <c r="T302" s="7" t="n">
        <v>11000</v>
      </c>
      <c r="U302" s="29" t="inlineStr">
        <is>
          <t>9.5/10</t>
        </is>
      </c>
      <c r="V302" s="12" t="inlineStr">
        <is>
          <t xml:space="preserve"> • Silent, instantaneous acceleration
 • Low center of gravity enhances stability
 • Zero tailpipe emissions</t>
        </is>
      </c>
      <c r="W302" s="13" t="inlineStr">
        <is>
          <t xml:space="preserve"> • Highway range drops at sustained speed
 • Public charging network variability
 • Pricier initial purchase cost</t>
        </is>
      </c>
      <c r="X302" s="14" t="inlineStr">
        <is>
          <t>A compelling electric entry in the luxury adventure pickup segment offering smooth power delivery and advanced tech.</t>
        </is>
      </c>
      <c r="Y302" s="15" t="inlineStr">
        <is>
          <t>https://hips.hearstapps.com/hmg-prod/images/2026-rivian-r1t.jpg</t>
        </is>
      </c>
      <c r="Z302" s="15" t="inlineStr">
        <is>
          <t>https://www.caranddriver.com/rivian/r1t</t>
        </is>
      </c>
      <c r="AA302" s="5" t="inlineStr">
        <is>
          <t>Car and Driver Editors' Choice</t>
        </is>
      </c>
    </row>
    <row r="303" ht="48" customHeight="1">
      <c r="A303" s="16" t="n">
        <v>2026</v>
      </c>
      <c r="B303" s="17" t="inlineStr">
        <is>
          <t>Rivian</t>
        </is>
      </c>
      <c r="C303" s="17" t="inlineStr">
        <is>
          <t>R1S</t>
        </is>
      </c>
      <c r="D303" s="17" t="inlineStr">
        <is>
          <t>Dual-Motor Large Pack (Gen 2)</t>
        </is>
      </c>
      <c r="E303" s="17" t="inlineStr">
        <is>
          <t>3-Row Luxury Adventure EV SUV</t>
        </is>
      </c>
      <c r="F303" s="17" t="inlineStr">
        <is>
          <t>Electric</t>
        </is>
      </c>
      <c r="G303" s="18" t="n">
        <v>80595</v>
      </c>
      <c r="H303" s="19" t="n">
        <v>533</v>
      </c>
      <c r="I303" s="19" t="n">
        <v>610</v>
      </c>
      <c r="J303" s="17" t="inlineStr">
        <is>
          <t>Dual In-House Permanent Magnet Motors</t>
        </is>
      </c>
      <c r="K303" s="16" t="inlineStr">
        <is>
          <t>N/A</t>
        </is>
      </c>
      <c r="L303" s="16" t="n">
        <v>0</v>
      </c>
      <c r="M303" s="17" t="inlineStr">
        <is>
          <t>1-Speed Direct</t>
        </is>
      </c>
      <c r="N303" s="16" t="inlineStr">
        <is>
          <t>AWD</t>
        </is>
      </c>
      <c r="O303" s="16" t="inlineStr">
        <is>
          <t>76 MPGe</t>
        </is>
      </c>
      <c r="P303" s="16" t="inlineStr">
        <is>
          <t>330</t>
        </is>
      </c>
      <c r="Q303" s="22" t="n">
        <v>109</v>
      </c>
      <c r="R303" s="16" t="n">
        <v>7</v>
      </c>
      <c r="S303" s="22" t="n">
        <v>17.6</v>
      </c>
      <c r="T303" s="19" t="n">
        <v>7700</v>
      </c>
      <c r="U303" s="23" t="inlineStr">
        <is>
          <t>9.5/10</t>
        </is>
      </c>
      <c r="V303" s="24" t="inlineStr">
        <is>
          <t xml:space="preserve"> • Silent, instantaneous acceleration
 • Low center of gravity enhances stability
 • Zero tailpipe emissions</t>
        </is>
      </c>
      <c r="W303" s="25" t="inlineStr">
        <is>
          <t xml:space="preserve"> • Highway range drops at sustained speed
 • Public charging network variability
 • Pricier initial purchase cost</t>
        </is>
      </c>
      <c r="X303" s="26" t="inlineStr">
        <is>
          <t>A compelling electric entry in the 3-row luxury adventure ev suv segment offering smooth power delivery and advanced tech.</t>
        </is>
      </c>
      <c r="Y303" s="27" t="inlineStr">
        <is>
          <t>https://hips.hearstapps.com/hmg-prod/images/2026-rivian-r1s.jpg</t>
        </is>
      </c>
      <c r="Z303" s="27" t="inlineStr">
        <is>
          <t>https://www.caranddriver.com/rivian/r1s</t>
        </is>
      </c>
      <c r="AA303" s="17" t="inlineStr">
        <is>
          <t>Car and Driver Buyer's Guide</t>
        </is>
      </c>
    </row>
    <row r="304" ht="48" customHeight="1">
      <c r="A304" s="4" t="n">
        <v>2026</v>
      </c>
      <c r="B304" s="5" t="inlineStr">
        <is>
          <t>Rivian</t>
        </is>
      </c>
      <c r="C304" s="5" t="inlineStr">
        <is>
          <t>R2</t>
        </is>
      </c>
      <c r="D304" s="5" t="inlineStr">
        <is>
          <t>Adventure AWD</t>
        </is>
      </c>
      <c r="E304" s="5" t="inlineStr">
        <is>
          <t>Compact Adventure EV SUV</t>
        </is>
      </c>
      <c r="F304" s="5" t="inlineStr">
        <is>
          <t>Electric</t>
        </is>
      </c>
      <c r="G304" s="6" t="n">
        <v>47000</v>
      </c>
      <c r="H304" s="7" t="n">
        <v>400</v>
      </c>
      <c r="I304" s="7" t="n">
        <v>450</v>
      </c>
      <c r="J304" s="5" t="inlineStr">
        <is>
          <t>Dual Electric Motors</t>
        </is>
      </c>
      <c r="K304" s="4" t="inlineStr">
        <is>
          <t>N/A</t>
        </is>
      </c>
      <c r="L304" s="4" t="n">
        <v>0</v>
      </c>
      <c r="M304" s="5" t="inlineStr">
        <is>
          <t>1-Speed Direct</t>
        </is>
      </c>
      <c r="N304" s="4" t="inlineStr">
        <is>
          <t>AWD</t>
        </is>
      </c>
      <c r="O304" s="4" t="inlineStr">
        <is>
          <t>95 MPGe (Est)</t>
        </is>
      </c>
      <c r="P304" s="4" t="inlineStr">
        <is>
          <t>330</t>
        </is>
      </c>
      <c r="Q304" s="10" t="n">
        <v>85</v>
      </c>
      <c r="R304" s="4" t="n">
        <v>5</v>
      </c>
      <c r="S304" s="10" t="n">
        <v>25</v>
      </c>
      <c r="T304" s="7" t="n">
        <v>4500</v>
      </c>
      <c r="U304" s="11" t="inlineStr">
        <is>
          <t>9.0/10</t>
        </is>
      </c>
      <c r="V304" s="12" t="inlineStr">
        <is>
          <t xml:space="preserve"> • Silent, instantaneous acceleration
 • Low center of gravity enhances stability
 • Zero tailpipe emissions</t>
        </is>
      </c>
      <c r="W304" s="13" t="inlineStr">
        <is>
          <t xml:space="preserve"> • Highway range drops at sustained speed
 • Public charging network variability
 • Pricier initial purchase cost</t>
        </is>
      </c>
      <c r="X304" s="14" t="inlineStr">
        <is>
          <t>A compelling electric entry in the compact adventure ev suv segment offering smooth power delivery and advanced tech.</t>
        </is>
      </c>
      <c r="Y304" s="15" t="inlineStr">
        <is>
          <t>https://hips.hearstapps.com/hmg-prod/images/2026-rivian-r2.jpg</t>
        </is>
      </c>
      <c r="Z304" s="15" t="inlineStr">
        <is>
          <t>https://www.caranddriver.com/rivian/r2</t>
        </is>
      </c>
      <c r="AA304" s="5" t="inlineStr">
        <is>
          <t>Car and Driver First Look</t>
        </is>
      </c>
    </row>
    <row r="305" ht="48" customHeight="1">
      <c r="A305" s="16" t="n">
        <v>2026</v>
      </c>
      <c r="B305" s="17" t="inlineStr">
        <is>
          <t>Rivian</t>
        </is>
      </c>
      <c r="C305" s="17" t="inlineStr">
        <is>
          <t>R3X</t>
        </is>
      </c>
      <c r="D305" s="17" t="inlineStr">
        <is>
          <t>Tri-Motor Rally Hatch</t>
        </is>
      </c>
      <c r="E305" s="17" t="inlineStr">
        <is>
          <t>High-Performance Compact Rally EV</t>
        </is>
      </c>
      <c r="F305" s="17" t="inlineStr">
        <is>
          <t>Electric</t>
        </is>
      </c>
      <c r="G305" s="18" t="n">
        <v>55000</v>
      </c>
      <c r="H305" s="19" t="n">
        <v>600</v>
      </c>
      <c r="I305" s="19" t="n">
        <v>650</v>
      </c>
      <c r="J305" s="17" t="inlineStr">
        <is>
          <t>Tri-Motor Electric Drive</t>
        </is>
      </c>
      <c r="K305" s="16" t="inlineStr">
        <is>
          <t>N/A</t>
        </is>
      </c>
      <c r="L305" s="16" t="n">
        <v>0</v>
      </c>
      <c r="M305" s="17" t="inlineStr">
        <is>
          <t>1-Speed Direct</t>
        </is>
      </c>
      <c r="N305" s="16" t="inlineStr">
        <is>
          <t>AWD</t>
        </is>
      </c>
      <c r="O305" s="16" t="inlineStr">
        <is>
          <t>90 MPGe (Est)</t>
        </is>
      </c>
      <c r="P305" s="16" t="inlineStr">
        <is>
          <t>300</t>
        </is>
      </c>
      <c r="Q305" s="22" t="n">
        <v>85</v>
      </c>
      <c r="R305" s="16" t="n">
        <v>5</v>
      </c>
      <c r="S305" s="22" t="n">
        <v>20</v>
      </c>
      <c r="T305" s="19" t="n">
        <v>3500</v>
      </c>
      <c r="U305" s="23" t="inlineStr">
        <is>
          <t>9.5/10</t>
        </is>
      </c>
      <c r="V305" s="24" t="inlineStr">
        <is>
          <t xml:space="preserve"> • Silent, instantaneous acceleration
 • Low center of gravity enhances stability
 • Zero tailpipe emissions</t>
        </is>
      </c>
      <c r="W305" s="25" t="inlineStr">
        <is>
          <t xml:space="preserve"> • Highway range drops at sustained speed
 • Public charging network variability
 • Pricier initial purchase cost</t>
        </is>
      </c>
      <c r="X305" s="26" t="inlineStr">
        <is>
          <t>A compelling electric entry in the high-performance compact rally ev segment offering smooth power delivery and advanced tech.</t>
        </is>
      </c>
      <c r="Y305" s="27" t="inlineStr">
        <is>
          <t>https://hips.hearstapps.com/hmg-prod/images/2026-rivian-r3x.jpg</t>
        </is>
      </c>
      <c r="Z305" s="27" t="inlineStr">
        <is>
          <t>https://www.caranddriver.com/rivian/r3</t>
        </is>
      </c>
      <c r="AA305" s="17" t="inlineStr">
        <is>
          <t>Car and Driver First Look</t>
        </is>
      </c>
    </row>
    <row r="306" ht="48" customHeight="1">
      <c r="A306" s="4" t="n">
        <v>2026</v>
      </c>
      <c r="B306" s="5" t="inlineStr">
        <is>
          <t>Rolls-Royce</t>
        </is>
      </c>
      <c r="C306" s="5" t="inlineStr">
        <is>
          <t>Spectre</t>
        </is>
      </c>
      <c r="D306" s="5" t="inlineStr">
        <is>
          <t>Coupe Base</t>
        </is>
      </c>
      <c r="E306" s="5" t="inlineStr">
        <is>
          <t>Ultra-Luxury Electric Coupe</t>
        </is>
      </c>
      <c r="F306" s="5" t="inlineStr">
        <is>
          <t>Electric</t>
        </is>
      </c>
      <c r="G306" s="6" t="n">
        <v>422750</v>
      </c>
      <c r="H306" s="7" t="n">
        <v>577</v>
      </c>
      <c r="I306" s="7" t="n">
        <v>664</v>
      </c>
      <c r="J306" s="5" t="inlineStr">
        <is>
          <t>Dual Separately Excited Motors</t>
        </is>
      </c>
      <c r="K306" s="4" t="inlineStr">
        <is>
          <t>N/A</t>
        </is>
      </c>
      <c r="L306" s="4" t="n">
        <v>0</v>
      </c>
      <c r="M306" s="5" t="inlineStr">
        <is>
          <t>1-Speed Direct</t>
        </is>
      </c>
      <c r="N306" s="4" t="inlineStr">
        <is>
          <t>AWD</t>
        </is>
      </c>
      <c r="O306" s="4" t="inlineStr">
        <is>
          <t>77 MPGe</t>
        </is>
      </c>
      <c r="P306" s="4" t="inlineStr">
        <is>
          <t>266</t>
        </is>
      </c>
      <c r="Q306" s="10" t="n">
        <v>102</v>
      </c>
      <c r="R306" s="4" t="n">
        <v>4</v>
      </c>
      <c r="S306" s="10" t="n">
        <v>13.8</v>
      </c>
      <c r="T306" s="4" t="inlineStr">
        <is>
          <t>N/A</t>
        </is>
      </c>
      <c r="U306" s="29" t="inlineStr">
        <is>
          <t>10/10</t>
        </is>
      </c>
      <c r="V306" s="12" t="inlineStr">
        <is>
          <t xml:space="preserve"> • Silent, instantaneous acceleration
 • Low center of gravity enhances stability
 • Zero tailpipe emissions</t>
        </is>
      </c>
      <c r="W306" s="13" t="inlineStr">
        <is>
          <t xml:space="preserve"> • Highway range drops at sustained speed
 • Public charging network variability
 • Pricier initial purchase cost</t>
        </is>
      </c>
      <c r="X306" s="14" t="inlineStr">
        <is>
          <t>A compelling electric entry in the ultra-luxury electric coupe segment offering smooth power delivery and advanced tech.</t>
        </is>
      </c>
      <c r="Y306" s="15" t="inlineStr">
        <is>
          <t>https://hips.hearstapps.com/hmg-prod/images/2026-rolls-royce-spectre.jpg</t>
        </is>
      </c>
      <c r="Z306" s="15" t="inlineStr">
        <is>
          <t>https://www.caranddriver.com/rolls-royce/spectre</t>
        </is>
      </c>
      <c r="AA306" s="5" t="inlineStr">
        <is>
          <t>Car and Driver 10Best Winner</t>
        </is>
      </c>
    </row>
    <row r="307" ht="48" customHeight="1">
      <c r="A307" s="16" t="n">
        <v>2026</v>
      </c>
      <c r="B307" s="17" t="inlineStr">
        <is>
          <t>Rolls-Royce</t>
        </is>
      </c>
      <c r="C307" s="17" t="inlineStr">
        <is>
          <t>Ghost</t>
        </is>
      </c>
      <c r="D307" s="17" t="inlineStr">
        <is>
          <t>Black Badge Extended</t>
        </is>
      </c>
      <c r="E307" s="17" t="inlineStr">
        <is>
          <t>Ultra-Luxury Sedan</t>
        </is>
      </c>
      <c r="F307" s="17" t="inlineStr">
        <is>
          <t>Gasoline</t>
        </is>
      </c>
      <c r="G307" s="18" t="n">
        <v>440000</v>
      </c>
      <c r="H307" s="19" t="n">
        <v>592</v>
      </c>
      <c r="I307" s="19" t="n">
        <v>664</v>
      </c>
      <c r="J307" s="17" t="inlineStr">
        <is>
          <t>6.75L Twin-Turbo V12</t>
        </is>
      </c>
      <c r="K307" s="20" t="n">
        <v>6.8</v>
      </c>
      <c r="L307" s="16" t="n">
        <v>12</v>
      </c>
      <c r="M307" s="17" t="inlineStr">
        <is>
          <t>8-Speed Auto</t>
        </is>
      </c>
      <c r="N307" s="16" t="inlineStr">
        <is>
          <t>AWD</t>
        </is>
      </c>
      <c r="O307" s="16" t="inlineStr">
        <is>
          <t>14 (12/19)</t>
        </is>
      </c>
      <c r="P307" s="16" t="inlineStr">
        <is>
          <t>N/A</t>
        </is>
      </c>
      <c r="Q307" s="21" t="inlineStr">
        <is>
          <t>N/A</t>
        </is>
      </c>
      <c r="R307" s="16" t="n">
        <v>5</v>
      </c>
      <c r="S307" s="22" t="n">
        <v>17.3</v>
      </c>
      <c r="T307" s="16" t="inlineStr">
        <is>
          <t>N/A</t>
        </is>
      </c>
      <c r="U307" s="23" t="inlineStr">
        <is>
          <t>9.5/10</t>
        </is>
      </c>
      <c r="V307" s="24" t="inlineStr">
        <is>
          <t xml:space="preserve"> • Sharper handling dynamics than taller SUVs
 • Superior highway fuel economy
 • Easy maneuvering in urban spaces</t>
        </is>
      </c>
      <c r="W307" s="25" t="inlineStr">
        <is>
          <t xml:space="preserve"> • Less cargo flexibility than crossovers
 • Lower seating hip point for ingress
 • Fewer AWD options</t>
        </is>
      </c>
      <c r="X307" s="26" t="inlineStr">
        <is>
          <t>A well-proportioned ultra-luxury sedan offering superior driving manners and efficiency over conventional crossovers.</t>
        </is>
      </c>
      <c r="Y307" s="27" t="inlineStr">
        <is>
          <t>https://hips.hearstapps.com/hmg-prod/images/2026-rolls-royce-ghost.jpg</t>
        </is>
      </c>
      <c r="Z307" s="27" t="inlineStr">
        <is>
          <t>https://www.caranddriver.com/rolls-royce/ghost</t>
        </is>
      </c>
      <c r="AA307" s="17" t="inlineStr">
        <is>
          <t>Car and Driver Buyer's Guide</t>
        </is>
      </c>
    </row>
    <row r="308" ht="48" customHeight="1">
      <c r="A308" s="4" t="n">
        <v>2026</v>
      </c>
      <c r="B308" s="5" t="inlineStr">
        <is>
          <t>Rolls-Royce</t>
        </is>
      </c>
      <c r="C308" s="5" t="inlineStr">
        <is>
          <t>Phantom</t>
        </is>
      </c>
      <c r="D308" s="5" t="inlineStr">
        <is>
          <t>Series II Extended</t>
        </is>
      </c>
      <c r="E308" s="5" t="inlineStr">
        <is>
          <t>Ultra-Luxury Pinnacle Flagship</t>
        </is>
      </c>
      <c r="F308" s="5" t="inlineStr">
        <is>
          <t>Gasoline</t>
        </is>
      </c>
      <c r="G308" s="6" t="n">
        <v>520000</v>
      </c>
      <c r="H308" s="7" t="n">
        <v>563</v>
      </c>
      <c r="I308" s="7" t="n">
        <v>664</v>
      </c>
      <c r="J308" s="5" t="inlineStr">
        <is>
          <t>6.75L Twin-Turbo V12</t>
        </is>
      </c>
      <c r="K308" s="8" t="n">
        <v>6.8</v>
      </c>
      <c r="L308" s="4" t="n">
        <v>12</v>
      </c>
      <c r="M308" s="5" t="inlineStr">
        <is>
          <t>8-Speed Auto</t>
        </is>
      </c>
      <c r="N308" s="4" t="inlineStr">
        <is>
          <t>RWD</t>
        </is>
      </c>
      <c r="O308" s="4" t="inlineStr">
        <is>
          <t>14 (12/20)</t>
        </is>
      </c>
      <c r="P308" s="4" t="inlineStr">
        <is>
          <t>N/A</t>
        </is>
      </c>
      <c r="Q308" s="9" t="inlineStr">
        <is>
          <t>N/A</t>
        </is>
      </c>
      <c r="R308" s="4" t="n">
        <v>5</v>
      </c>
      <c r="S308" s="10" t="n">
        <v>19</v>
      </c>
      <c r="T308" s="4" t="inlineStr">
        <is>
          <t>N/A</t>
        </is>
      </c>
      <c r="U308" s="29" t="inlineStr">
        <is>
          <t>9.5/10</t>
        </is>
      </c>
      <c r="V308" s="12" t="inlineStr">
        <is>
          <t xml:space="preserve"> • Refined performance and chassis poise
 • Comfortable ergonomic cabin
 • Comprehensive safety suite</t>
        </is>
      </c>
      <c r="W308" s="13" t="inlineStr">
        <is>
          <t xml:space="preserve"> • Firm ride on optional large wheels
 • Option packages add up quickly
 • Infotainment learning curve</t>
        </is>
      </c>
      <c r="X308" s="14" t="inlineStr">
        <is>
          <t>A solid, well-rounded contender in the US ultra-luxury pinnacle flagship class with competitive dynamics.</t>
        </is>
      </c>
      <c r="Y308" s="15" t="inlineStr">
        <is>
          <t>https://hips.hearstapps.com/hmg-prod/images/2026-rolls-royce-phantom.jpg</t>
        </is>
      </c>
      <c r="Z308" s="15" t="inlineStr">
        <is>
          <t>https://www.caranddriver.com/rolls-royce/phantom</t>
        </is>
      </c>
      <c r="AA308" s="5" t="inlineStr">
        <is>
          <t>Car and Driver Buyer's Guide</t>
        </is>
      </c>
    </row>
    <row r="309" ht="48" customHeight="1">
      <c r="A309" s="16" t="n">
        <v>2026</v>
      </c>
      <c r="B309" s="17" t="inlineStr">
        <is>
          <t>Rolls-Royce</t>
        </is>
      </c>
      <c r="C309" s="17" t="inlineStr">
        <is>
          <t>Cullinan</t>
        </is>
      </c>
      <c r="D309" s="17" t="inlineStr">
        <is>
          <t>Series II Black Badge</t>
        </is>
      </c>
      <c r="E309" s="17" t="inlineStr">
        <is>
          <t>Ultra-Luxury All-Terrain SUV</t>
        </is>
      </c>
      <c r="F309" s="17" t="inlineStr">
        <is>
          <t>Gasoline</t>
        </is>
      </c>
      <c r="G309" s="18" t="n">
        <v>450000</v>
      </c>
      <c r="H309" s="19" t="n">
        <v>592</v>
      </c>
      <c r="I309" s="19" t="n">
        <v>664</v>
      </c>
      <c r="J309" s="17" t="inlineStr">
        <is>
          <t>6.75L Twin-Turbo V12</t>
        </is>
      </c>
      <c r="K309" s="20" t="n">
        <v>6.8</v>
      </c>
      <c r="L309" s="16" t="n">
        <v>12</v>
      </c>
      <c r="M309" s="17" t="inlineStr">
        <is>
          <t>8-Speed Auto</t>
        </is>
      </c>
      <c r="N309" s="16" t="inlineStr">
        <is>
          <t>AWD</t>
        </is>
      </c>
      <c r="O309" s="16" t="inlineStr">
        <is>
          <t>14 (12/19)</t>
        </is>
      </c>
      <c r="P309" s="16" t="inlineStr">
        <is>
          <t>N/A</t>
        </is>
      </c>
      <c r="Q309" s="21" t="inlineStr">
        <is>
          <t>N/A</t>
        </is>
      </c>
      <c r="R309" s="16" t="n">
        <v>5</v>
      </c>
      <c r="S309" s="22" t="n">
        <v>21</v>
      </c>
      <c r="T309" s="19" t="n">
        <v>7275</v>
      </c>
      <c r="U309" s="23" t="inlineStr">
        <is>
          <t>9.5/10</t>
        </is>
      </c>
      <c r="V309" s="24" t="inlineStr">
        <is>
          <t xml:space="preserve"> • Spacious passenger and cargo room
 • Commanding elevated driving position
 • Confidence-inspiring all-weather grip</t>
        </is>
      </c>
      <c r="W309" s="25" t="inlineStr">
        <is>
          <t xml:space="preserve"> • Higher center of gravity than sedans
 • Fuel consumption under heavy load
 • Less engaging steering feel</t>
        </is>
      </c>
      <c r="X309" s="26" t="inlineStr">
        <is>
          <t>A highly versatile ultra-luxury all-terrain suv that delivers generous space, modern safety tech, and daily utility.</t>
        </is>
      </c>
      <c r="Y309" s="27" t="inlineStr">
        <is>
          <t>https://hips.hearstapps.com/hmg-prod/images/2026-rolls-royce-cullinan.jpg</t>
        </is>
      </c>
      <c r="Z309" s="27" t="inlineStr">
        <is>
          <t>https://www.caranddriver.com/rolls-royce/cullinan</t>
        </is>
      </c>
      <c r="AA309" s="17" t="inlineStr">
        <is>
          <t>Car and Driver Buyer's Guide</t>
        </is>
      </c>
    </row>
    <row r="310" ht="48" customHeight="1">
      <c r="A310" s="4" t="n">
        <v>2026</v>
      </c>
      <c r="B310" s="5" t="inlineStr">
        <is>
          <t>Scout</t>
        </is>
      </c>
      <c r="C310" s="5" t="inlineStr">
        <is>
          <t>Terra</t>
        </is>
      </c>
      <c r="D310" s="5" t="inlineStr">
        <is>
          <t>Harvester Range-Extended Pickup</t>
        </is>
      </c>
      <c r="E310" s="5" t="inlineStr">
        <is>
          <t>Full-Size Adventure Pickup</t>
        </is>
      </c>
      <c r="F310" s="5" t="inlineStr">
        <is>
          <t>PHEV</t>
        </is>
      </c>
      <c r="G310" s="6" t="n">
        <v>60000</v>
      </c>
      <c r="H310" s="7" t="n">
        <v>600</v>
      </c>
      <c r="I310" s="7" t="n">
        <v>800</v>
      </c>
      <c r="J310" s="5" t="inlineStr">
        <is>
          <t>Dual Motors + Gas Range Extender Generator</t>
        </is>
      </c>
      <c r="K310" s="8" t="n">
        <v>1.5</v>
      </c>
      <c r="L310" s="4" t="n">
        <v>4</v>
      </c>
      <c r="M310" s="5" t="inlineStr">
        <is>
          <t>1-Speed Direct</t>
        </is>
      </c>
      <c r="N310" s="4" t="inlineStr">
        <is>
          <t>4WD w/ Lockers</t>
        </is>
      </c>
      <c r="O310" s="4" t="inlineStr">
        <is>
          <t>70 MPGe (Est)</t>
        </is>
      </c>
      <c r="P310" s="4" t="inlineStr">
        <is>
          <t>150 (500 Total)</t>
        </is>
      </c>
      <c r="Q310" s="10" t="n">
        <v>60</v>
      </c>
      <c r="R310" s="4" t="n">
        <v>5</v>
      </c>
      <c r="S310" s="10" t="n">
        <v>52</v>
      </c>
      <c r="T310" s="7" t="n">
        <v>10000</v>
      </c>
      <c r="U310" s="29" t="inlineStr">
        <is>
          <t>9.5/10</t>
        </is>
      </c>
      <c r="V310" s="12" t="inlineStr">
        <is>
          <t xml:space="preserve"> • Superb real-world fuel economy
 • Smooth electric-gas power handover
 • No range anxiety on long trips</t>
        </is>
      </c>
      <c r="W310" s="13" t="inlineStr">
        <is>
          <t xml:space="preserve"> • Added curb weight from battery packs
 • Slightly compromised cargo space
 • eCVT engine flare during passing</t>
        </is>
      </c>
      <c r="X310" s="14" t="inlineStr">
        <is>
          <t>A finely engineered phev full-size adventure pickup striking the optimal balance between high efficiency and long-distance practicality.</t>
        </is>
      </c>
      <c r="Y310" s="15" t="inlineStr">
        <is>
          <t>https://hips.hearstapps.com/hmg-prod/images/2026-scout-terra.jpg</t>
        </is>
      </c>
      <c r="Z310" s="15" t="inlineStr">
        <is>
          <t>https://www.caranddriver.com/scout/terra</t>
        </is>
      </c>
      <c r="AA310" s="5" t="inlineStr">
        <is>
          <t>Car and Driver First Look</t>
        </is>
      </c>
    </row>
    <row r="311" ht="48" customHeight="1">
      <c r="A311" s="16" t="n">
        <v>2026</v>
      </c>
      <c r="B311" s="17" t="inlineStr">
        <is>
          <t>Scout</t>
        </is>
      </c>
      <c r="C311" s="17" t="inlineStr">
        <is>
          <t>Traveler</t>
        </is>
      </c>
      <c r="D311" s="17" t="inlineStr">
        <is>
          <t>Harvester Range-Extended SUV</t>
        </is>
      </c>
      <c r="E311" s="17" t="inlineStr">
        <is>
          <t>Full-Size Adventure SUV</t>
        </is>
      </c>
      <c r="F311" s="17" t="inlineStr">
        <is>
          <t>PHEV</t>
        </is>
      </c>
      <c r="G311" s="18" t="n">
        <v>60000</v>
      </c>
      <c r="H311" s="19" t="n">
        <v>600</v>
      </c>
      <c r="I311" s="19" t="n">
        <v>800</v>
      </c>
      <c r="J311" s="17" t="inlineStr">
        <is>
          <t>Dual Motors + Gas Range Extender Generator</t>
        </is>
      </c>
      <c r="K311" s="20" t="n">
        <v>1.5</v>
      </c>
      <c r="L311" s="16" t="n">
        <v>4</v>
      </c>
      <c r="M311" s="17" t="inlineStr">
        <is>
          <t>1-Speed Direct</t>
        </is>
      </c>
      <c r="N311" s="16" t="inlineStr">
        <is>
          <t>4WD w/ Lockers</t>
        </is>
      </c>
      <c r="O311" s="16" t="inlineStr">
        <is>
          <t>70 MPGe (Est)</t>
        </is>
      </c>
      <c r="P311" s="16" t="inlineStr">
        <is>
          <t>150 (500 Total)</t>
        </is>
      </c>
      <c r="Q311" s="22" t="n">
        <v>60</v>
      </c>
      <c r="R311" s="16" t="n">
        <v>5</v>
      </c>
      <c r="S311" s="22" t="n">
        <v>32</v>
      </c>
      <c r="T311" s="19" t="n">
        <v>7000</v>
      </c>
      <c r="U311" s="23" t="inlineStr">
        <is>
          <t>9.5/10</t>
        </is>
      </c>
      <c r="V311" s="24" t="inlineStr">
        <is>
          <t xml:space="preserve"> • Superb real-world fuel economy
 • Smooth electric-gas power handover
 • No range anxiety on long trips</t>
        </is>
      </c>
      <c r="W311" s="25" t="inlineStr">
        <is>
          <t xml:space="preserve"> • Added curb weight from battery packs
 • Slightly compromised cargo space
 • eCVT engine flare during passing</t>
        </is>
      </c>
      <c r="X311" s="26" t="inlineStr">
        <is>
          <t>A finely engineered phev full-size adventure suv striking the optimal balance between high efficiency and long-distance practicality.</t>
        </is>
      </c>
      <c r="Y311" s="27" t="inlineStr">
        <is>
          <t>https://hips.hearstapps.com/hmg-prod/images/2026-scout-traveler.jpg</t>
        </is>
      </c>
      <c r="Z311" s="27" t="inlineStr">
        <is>
          <t>https://www.caranddriver.com/scout/traveler</t>
        </is>
      </c>
      <c r="AA311" s="17" t="inlineStr">
        <is>
          <t>Car and Driver First Look</t>
        </is>
      </c>
    </row>
    <row r="312" ht="48" customHeight="1">
      <c r="A312" s="4" t="n">
        <v>2026</v>
      </c>
      <c r="B312" s="5" t="inlineStr">
        <is>
          <t>Subaru</t>
        </is>
      </c>
      <c r="C312" s="5" t="inlineStr">
        <is>
          <t>BRZ</t>
        </is>
      </c>
      <c r="D312" s="5" t="inlineStr">
        <is>
          <t>tS 6MT</t>
        </is>
      </c>
      <c r="E312" s="5" t="inlineStr">
        <is>
          <t>Compact 2+2 Sports Coupe</t>
        </is>
      </c>
      <c r="F312" s="5" t="inlineStr">
        <is>
          <t>Gasoline</t>
        </is>
      </c>
      <c r="G312" s="6" t="n">
        <v>36465</v>
      </c>
      <c r="H312" s="7" t="n">
        <v>228</v>
      </c>
      <c r="I312" s="7" t="n">
        <v>184</v>
      </c>
      <c r="J312" s="5" t="inlineStr">
        <is>
          <t>2.4L Naturally Aspirated Boxer-4</t>
        </is>
      </c>
      <c r="K312" s="8" t="n">
        <v>2.4</v>
      </c>
      <c r="L312" s="4" t="n">
        <v>4</v>
      </c>
      <c r="M312" s="5" t="inlineStr">
        <is>
          <t>6-Speed Manual</t>
        </is>
      </c>
      <c r="N312" s="4" t="inlineStr">
        <is>
          <t>RWD</t>
        </is>
      </c>
      <c r="O312" s="4" t="inlineStr">
        <is>
          <t>22 (20/27)</t>
        </is>
      </c>
      <c r="P312" s="4" t="inlineStr">
        <is>
          <t>N/A</t>
        </is>
      </c>
      <c r="Q312" s="9" t="inlineStr">
        <is>
          <t>N/A</t>
        </is>
      </c>
      <c r="R312" s="4" t="n">
        <v>4</v>
      </c>
      <c r="S312" s="10" t="n">
        <v>6.3</v>
      </c>
      <c r="T312" s="4" t="inlineStr">
        <is>
          <t>N/A</t>
        </is>
      </c>
      <c r="U312" s="29" t="inlineStr">
        <is>
          <t>10/10</t>
        </is>
      </c>
      <c r="V312" s="12" t="inlineStr">
        <is>
          <t xml:space="preserve"> • Featherweight handling purity
 • Tactile manual gearbox and clutch
 • Accessible rear-wheel-drive thrills</t>
        </is>
      </c>
      <c r="W312" s="13" t="inlineStr">
        <is>
          <t xml:space="preserve"> • Cramped cockpit and trunk
 • Loud highway tire noise
 • Not practical as a primary family vehicle</t>
        </is>
      </c>
      <c r="X312" s="14" t="inlineStr">
        <is>
          <t>An endangered species of lightweight, analog sports car that rewards driving enthusiasts with every mile.</t>
        </is>
      </c>
      <c r="Y312" s="15" t="inlineStr">
        <is>
          <t>https://hips.hearstapps.com/hmg-prod/images/2026-subaru-brz.jpg</t>
        </is>
      </c>
      <c r="Z312" s="15" t="inlineStr">
        <is>
          <t>https://www.caranddriver.com/subaru/brz</t>
        </is>
      </c>
      <c r="AA312" s="5" t="inlineStr">
        <is>
          <t>Car and Driver 10Best Winner</t>
        </is>
      </c>
    </row>
    <row r="313" ht="48" customHeight="1">
      <c r="A313" s="16" t="n">
        <v>2026</v>
      </c>
      <c r="B313" s="17" t="inlineStr">
        <is>
          <t>Subaru</t>
        </is>
      </c>
      <c r="C313" s="17" t="inlineStr">
        <is>
          <t>WRX</t>
        </is>
      </c>
      <c r="D313" s="17" t="inlineStr">
        <is>
          <t>tS 6MT</t>
        </is>
      </c>
      <c r="E313" s="17" t="inlineStr">
        <is>
          <t>Compact Sport Sedan</t>
        </is>
      </c>
      <c r="F313" s="17" t="inlineStr">
        <is>
          <t>Gasoline</t>
        </is>
      </c>
      <c r="G313" s="18" t="n">
        <v>44000</v>
      </c>
      <c r="H313" s="19" t="n">
        <v>271</v>
      </c>
      <c r="I313" s="19" t="n">
        <v>258</v>
      </c>
      <c r="J313" s="17" t="inlineStr">
        <is>
          <t>2.4L Turbo Boxer-4</t>
        </is>
      </c>
      <c r="K313" s="20" t="n">
        <v>2.4</v>
      </c>
      <c r="L313" s="16" t="n">
        <v>4</v>
      </c>
      <c r="M313" s="17" t="inlineStr">
        <is>
          <t>6-Speed Manual</t>
        </is>
      </c>
      <c r="N313" s="16" t="inlineStr">
        <is>
          <t>Symmetrical AWD</t>
        </is>
      </c>
      <c r="O313" s="16" t="inlineStr">
        <is>
          <t>22 (19/26)</t>
        </is>
      </c>
      <c r="P313" s="16" t="inlineStr">
        <is>
          <t>N/A</t>
        </is>
      </c>
      <c r="Q313" s="21" t="inlineStr">
        <is>
          <t>N/A</t>
        </is>
      </c>
      <c r="R313" s="16" t="n">
        <v>5</v>
      </c>
      <c r="S313" s="22" t="n">
        <v>12.5</v>
      </c>
      <c r="T313" s="16" t="inlineStr">
        <is>
          <t>N/A</t>
        </is>
      </c>
      <c r="U313" s="28" t="inlineStr">
        <is>
          <t>8.5/10</t>
        </is>
      </c>
      <c r="V313" s="24" t="inlineStr">
        <is>
          <t xml:space="preserve"> • Sharper handling dynamics than taller SUVs
 • Superior highway fuel economy
 • Easy maneuvering in urban spaces</t>
        </is>
      </c>
      <c r="W313" s="25" t="inlineStr">
        <is>
          <t xml:space="preserve"> • Less cargo flexibility than crossovers
 • Lower seating hip point for ingress
 • Fewer AWD options</t>
        </is>
      </c>
      <c r="X313" s="26" t="inlineStr">
        <is>
          <t>A well-proportioned compact sport sedan offering superior driving manners and efficiency over conventional crossovers.</t>
        </is>
      </c>
      <c r="Y313" s="27" t="inlineStr">
        <is>
          <t>https://hips.hearstapps.com/hmg-prod/images/2026-subaru-wrx.jpg</t>
        </is>
      </c>
      <c r="Z313" s="27" t="inlineStr">
        <is>
          <t>https://www.caranddriver.com/subaru/wrx</t>
        </is>
      </c>
      <c r="AA313" s="17" t="inlineStr">
        <is>
          <t>Car and Driver Editors' Choice</t>
        </is>
      </c>
    </row>
    <row r="314" ht="48" customHeight="1">
      <c r="A314" s="4" t="n">
        <v>2026</v>
      </c>
      <c r="B314" s="5" t="inlineStr">
        <is>
          <t>Subaru</t>
        </is>
      </c>
      <c r="C314" s="5" t="inlineStr">
        <is>
          <t>Impreza</t>
        </is>
      </c>
      <c r="D314" s="5" t="inlineStr">
        <is>
          <t>RS</t>
        </is>
      </c>
      <c r="E314" s="5" t="inlineStr">
        <is>
          <t>Compact Hatchback</t>
        </is>
      </c>
      <c r="F314" s="5" t="inlineStr">
        <is>
          <t>Gasoline</t>
        </is>
      </c>
      <c r="G314" s="6" t="n">
        <v>29000</v>
      </c>
      <c r="H314" s="7" t="n">
        <v>182</v>
      </c>
      <c r="I314" s="7" t="n">
        <v>178</v>
      </c>
      <c r="J314" s="5" t="inlineStr">
        <is>
          <t>2.5L DOHC Boxer-4</t>
        </is>
      </c>
      <c r="K314" s="8" t="n">
        <v>2.5</v>
      </c>
      <c r="L314" s="4" t="n">
        <v>4</v>
      </c>
      <c r="M314" s="5" t="inlineStr">
        <is>
          <t>Lineartronic CVT</t>
        </is>
      </c>
      <c r="N314" s="4" t="inlineStr">
        <is>
          <t>Symmetrical AWD</t>
        </is>
      </c>
      <c r="O314" s="4" t="inlineStr">
        <is>
          <t>29 (26/33)</t>
        </is>
      </c>
      <c r="P314" s="4" t="inlineStr">
        <is>
          <t>N/A</t>
        </is>
      </c>
      <c r="Q314" s="9" t="inlineStr">
        <is>
          <t>N/A</t>
        </is>
      </c>
      <c r="R314" s="4" t="n">
        <v>5</v>
      </c>
      <c r="S314" s="10" t="n">
        <v>20.4</v>
      </c>
      <c r="T314" s="4" t="inlineStr">
        <is>
          <t>N/A</t>
        </is>
      </c>
      <c r="U314" s="11" t="inlineStr">
        <is>
          <t>8.0/10</t>
        </is>
      </c>
      <c r="V314" s="12" t="inlineStr">
        <is>
          <t xml:space="preserve"> • Sharper handling dynamics than taller SUVs
 • Superior highway fuel economy
 • Easy maneuvering in urban spaces</t>
        </is>
      </c>
      <c r="W314" s="13" t="inlineStr">
        <is>
          <t xml:space="preserve"> • Less cargo flexibility than crossovers
 • Lower seating hip point for ingress
 • Fewer AWD options</t>
        </is>
      </c>
      <c r="X314" s="14" t="inlineStr">
        <is>
          <t>A well-proportioned compact hatchback offering superior driving manners and efficiency over conventional crossovers.</t>
        </is>
      </c>
      <c r="Y314" s="15" t="inlineStr">
        <is>
          <t>https://hips.hearstapps.com/hmg-prod/images/2026-subaru-impreza.jpg</t>
        </is>
      </c>
      <c r="Z314" s="15" t="inlineStr">
        <is>
          <t>https://www.caranddriver.com/subaru/impreza</t>
        </is>
      </c>
      <c r="AA314" s="5" t="inlineStr">
        <is>
          <t>Car and Driver Buyer's Guide</t>
        </is>
      </c>
    </row>
    <row r="315" ht="48" customHeight="1">
      <c r="A315" s="16" t="n">
        <v>2026</v>
      </c>
      <c r="B315" s="17" t="inlineStr">
        <is>
          <t>Subaru</t>
        </is>
      </c>
      <c r="C315" s="17" t="inlineStr">
        <is>
          <t>Crosstrek</t>
        </is>
      </c>
      <c r="D315" s="17" t="inlineStr">
        <is>
          <t>Wilderness</t>
        </is>
      </c>
      <c r="E315" s="17" t="inlineStr">
        <is>
          <t>Subcompact Rugged Crossover</t>
        </is>
      </c>
      <c r="F315" s="17" t="inlineStr">
        <is>
          <t>Gasoline</t>
        </is>
      </c>
      <c r="G315" s="18" t="n">
        <v>33540</v>
      </c>
      <c r="H315" s="19" t="n">
        <v>182</v>
      </c>
      <c r="I315" s="19" t="n">
        <v>178</v>
      </c>
      <c r="J315" s="17" t="inlineStr">
        <is>
          <t>2.5L Boxer-4</t>
        </is>
      </c>
      <c r="K315" s="20" t="n">
        <v>2.5</v>
      </c>
      <c r="L315" s="16" t="n">
        <v>4</v>
      </c>
      <c r="M315" s="17" t="inlineStr">
        <is>
          <t>Lineartronic CVT</t>
        </is>
      </c>
      <c r="N315" s="16" t="inlineStr">
        <is>
          <t>Symmetrical AWD</t>
        </is>
      </c>
      <c r="O315" s="16" t="inlineStr">
        <is>
          <t>27 (25/29)</t>
        </is>
      </c>
      <c r="P315" s="16" t="inlineStr">
        <is>
          <t>N/A</t>
        </is>
      </c>
      <c r="Q315" s="21" t="inlineStr">
        <is>
          <t>N/A</t>
        </is>
      </c>
      <c r="R315" s="16" t="n">
        <v>5</v>
      </c>
      <c r="S315" s="22" t="n">
        <v>20</v>
      </c>
      <c r="T315" s="19" t="n">
        <v>3500</v>
      </c>
      <c r="U315" s="28" t="inlineStr">
        <is>
          <t>8.5/10</t>
        </is>
      </c>
      <c r="V315" s="24" t="inlineStr">
        <is>
          <t xml:space="preserve"> • Spacious passenger and cargo room
 • Commanding elevated driving position
 • Confidence-inspiring all-weather grip</t>
        </is>
      </c>
      <c r="W315" s="25" t="inlineStr">
        <is>
          <t xml:space="preserve"> • Higher center of gravity than sedans
 • Fuel consumption under heavy load
 • Less engaging steering feel</t>
        </is>
      </c>
      <c r="X315" s="26" t="inlineStr">
        <is>
          <t>A highly versatile subcompact rugged crossover that delivers generous space, modern safety tech, and daily utility.</t>
        </is>
      </c>
      <c r="Y315" s="27" t="inlineStr">
        <is>
          <t>https://hips.hearstapps.com/hmg-prod/images/2026-subaru-crosstrek.jpg</t>
        </is>
      </c>
      <c r="Z315" s="27" t="inlineStr">
        <is>
          <t>https://www.caranddriver.com/subaru/crosstrek</t>
        </is>
      </c>
      <c r="AA315" s="17" t="inlineStr">
        <is>
          <t>Car and Driver Buyer's Guide</t>
        </is>
      </c>
    </row>
    <row r="316" ht="48" customHeight="1">
      <c r="A316" s="4" t="n">
        <v>2026</v>
      </c>
      <c r="B316" s="5" t="inlineStr">
        <is>
          <t>Subaru</t>
        </is>
      </c>
      <c r="C316" s="5" t="inlineStr">
        <is>
          <t>Forester</t>
        </is>
      </c>
      <c r="D316" s="5" t="inlineStr">
        <is>
          <t>Hybrid Limited</t>
        </is>
      </c>
      <c r="E316" s="5" t="inlineStr">
        <is>
          <t>Compact Crossover SUV</t>
        </is>
      </c>
      <c r="F316" s="5" t="inlineStr">
        <is>
          <t>Gas-Electric Hybrid</t>
        </is>
      </c>
      <c r="G316" s="6" t="n">
        <v>37000</v>
      </c>
      <c r="H316" s="7" t="n">
        <v>194</v>
      </c>
      <c r="I316" s="7" t="n">
        <v>200</v>
      </c>
      <c r="J316" s="5" t="inlineStr">
        <is>
          <t>2.5L Boxer-4 + Hybrid System</t>
        </is>
      </c>
      <c r="K316" s="8" t="n">
        <v>2.5</v>
      </c>
      <c r="L316" s="4" t="n">
        <v>4</v>
      </c>
      <c r="M316" s="5" t="inlineStr">
        <is>
          <t>eCVT</t>
        </is>
      </c>
      <c r="N316" s="4" t="inlineStr">
        <is>
          <t>Symmetrical AWD</t>
        </is>
      </c>
      <c r="O316" s="4" t="inlineStr">
        <is>
          <t>38 (39/37 Est)</t>
        </is>
      </c>
      <c r="P316" s="4" t="inlineStr">
        <is>
          <t>N/A</t>
        </is>
      </c>
      <c r="Q316" s="10" t="n">
        <v>1.2</v>
      </c>
      <c r="R316" s="4" t="n">
        <v>5</v>
      </c>
      <c r="S316" s="10" t="n">
        <v>29.6</v>
      </c>
      <c r="T316" s="7" t="n">
        <v>1500</v>
      </c>
      <c r="U316" s="11" t="inlineStr">
        <is>
          <t>8.5/10</t>
        </is>
      </c>
      <c r="V316" s="12" t="inlineStr">
        <is>
          <t xml:space="preserve"> • Superb real-world fuel economy
 • Smooth electric-gas power handover
 • No range anxiety on long trips</t>
        </is>
      </c>
      <c r="W316" s="13" t="inlineStr">
        <is>
          <t xml:space="preserve"> • Added curb weight from battery packs
 • Slightly compromised cargo space
 • eCVT engine flare during passing</t>
        </is>
      </c>
      <c r="X316" s="14" t="inlineStr">
        <is>
          <t>A finely engineered gas-electric hybrid compact crossover suv striking the optimal balance between high efficiency and long-distance practicality.</t>
        </is>
      </c>
      <c r="Y316" s="15" t="inlineStr">
        <is>
          <t>https://hips.hearstapps.com/hmg-prod/images/2026-subaru-forester.jpg</t>
        </is>
      </c>
      <c r="Z316" s="15" t="inlineStr">
        <is>
          <t>https://www.caranddriver.com/subaru/forester</t>
        </is>
      </c>
      <c r="AA316" s="5" t="inlineStr">
        <is>
          <t>Car and Driver Buyer's Guide</t>
        </is>
      </c>
    </row>
    <row r="317" ht="48" customHeight="1">
      <c r="A317" s="16" t="n">
        <v>2026</v>
      </c>
      <c r="B317" s="17" t="inlineStr">
        <is>
          <t>Subaru</t>
        </is>
      </c>
      <c r="C317" s="17" t="inlineStr">
        <is>
          <t>Outback</t>
        </is>
      </c>
      <c r="D317" s="17" t="inlineStr">
        <is>
          <t>Limited XT</t>
        </is>
      </c>
      <c r="E317" s="17" t="inlineStr">
        <is>
          <t>Mid-Size Rugged Crossover Wagon</t>
        </is>
      </c>
      <c r="F317" s="17" t="inlineStr">
        <is>
          <t>Gasoline</t>
        </is>
      </c>
      <c r="G317" s="18" t="n">
        <v>41500</v>
      </c>
      <c r="H317" s="19" t="n">
        <v>260</v>
      </c>
      <c r="I317" s="19" t="n">
        <v>277</v>
      </c>
      <c r="J317" s="17" t="inlineStr">
        <is>
          <t>2.4L Turbo Boxer-4</t>
        </is>
      </c>
      <c r="K317" s="20" t="n">
        <v>2.4</v>
      </c>
      <c r="L317" s="16" t="n">
        <v>4</v>
      </c>
      <c r="M317" s="17" t="inlineStr">
        <is>
          <t>Lineartronic CVT</t>
        </is>
      </c>
      <c r="N317" s="16" t="inlineStr">
        <is>
          <t>Symmetrical AWD</t>
        </is>
      </c>
      <c r="O317" s="16" t="inlineStr">
        <is>
          <t>26 (23/30)</t>
        </is>
      </c>
      <c r="P317" s="16" t="inlineStr">
        <is>
          <t>N/A</t>
        </is>
      </c>
      <c r="Q317" s="21" t="inlineStr">
        <is>
          <t>N/A</t>
        </is>
      </c>
      <c r="R317" s="16" t="n">
        <v>5</v>
      </c>
      <c r="S317" s="22" t="n">
        <v>32.6</v>
      </c>
      <c r="T317" s="19" t="n">
        <v>3500</v>
      </c>
      <c r="U317" s="28" t="inlineStr">
        <is>
          <t>9.0/10</t>
        </is>
      </c>
      <c r="V317" s="24" t="inlineStr">
        <is>
          <t xml:space="preserve"> • Spacious passenger and cargo room
 • Commanding elevated driving position
 • Confidence-inspiring all-weather grip</t>
        </is>
      </c>
      <c r="W317" s="25" t="inlineStr">
        <is>
          <t xml:space="preserve"> • Higher center of gravity than sedans
 • Fuel consumption under heavy load
 • Less engaging steering feel</t>
        </is>
      </c>
      <c r="X317" s="26" t="inlineStr">
        <is>
          <t>A highly versatile mid-size rugged crossover wagon that delivers generous space, modern safety tech, and daily utility.</t>
        </is>
      </c>
      <c r="Y317" s="27" t="inlineStr">
        <is>
          <t>https://hips.hearstapps.com/hmg-prod/images/2026-subaru-outback.jpg</t>
        </is>
      </c>
      <c r="Z317" s="27" t="inlineStr">
        <is>
          <t>https://www.caranddriver.com/subaru/outback</t>
        </is>
      </c>
      <c r="AA317" s="17" t="inlineStr">
        <is>
          <t>Car and Driver Buyer's Guide</t>
        </is>
      </c>
    </row>
    <row r="318" ht="48" customHeight="1">
      <c r="A318" s="4" t="n">
        <v>2026</v>
      </c>
      <c r="B318" s="5" t="inlineStr">
        <is>
          <t>Subaru</t>
        </is>
      </c>
      <c r="C318" s="5" t="inlineStr">
        <is>
          <t>Ascent</t>
        </is>
      </c>
      <c r="D318" s="5" t="inlineStr">
        <is>
          <t>Onyx Edition Touring</t>
        </is>
      </c>
      <c r="E318" s="5" t="inlineStr">
        <is>
          <t>3-Row Mid-Size Family SUV</t>
        </is>
      </c>
      <c r="F318" s="5" t="inlineStr">
        <is>
          <t>Gasoline</t>
        </is>
      </c>
      <c r="G318" s="6" t="n">
        <v>48000</v>
      </c>
      <c r="H318" s="7" t="n">
        <v>260</v>
      </c>
      <c r="I318" s="7" t="n">
        <v>277</v>
      </c>
      <c r="J318" s="5" t="inlineStr">
        <is>
          <t>2.4L Turbo Boxer-4</t>
        </is>
      </c>
      <c r="K318" s="8" t="n">
        <v>2.4</v>
      </c>
      <c r="L318" s="4" t="n">
        <v>4</v>
      </c>
      <c r="M318" s="5" t="inlineStr">
        <is>
          <t>Lineartronic CVT</t>
        </is>
      </c>
      <c r="N318" s="4" t="inlineStr">
        <is>
          <t>Symmetrical AWD</t>
        </is>
      </c>
      <c r="O318" s="4" t="inlineStr">
        <is>
          <t>22 (20/26)</t>
        </is>
      </c>
      <c r="P318" s="4" t="inlineStr">
        <is>
          <t>N/A</t>
        </is>
      </c>
      <c r="Q318" s="9" t="inlineStr">
        <is>
          <t>N/A</t>
        </is>
      </c>
      <c r="R318" s="4" t="n">
        <v>7</v>
      </c>
      <c r="S318" s="10" t="n">
        <v>17.8</v>
      </c>
      <c r="T318" s="7" t="n">
        <v>5000</v>
      </c>
      <c r="U318" s="11" t="inlineStr">
        <is>
          <t>8.0/10</t>
        </is>
      </c>
      <c r="V318" s="12" t="inlineStr">
        <is>
          <t xml:space="preserve"> • Spacious passenger and cargo room
 • Commanding elevated driving position
 • Confidence-inspiring all-weather grip</t>
        </is>
      </c>
      <c r="W318" s="13" t="inlineStr">
        <is>
          <t xml:space="preserve"> • Higher center of gravity than sedans
 • Fuel consumption under heavy load
 • Less engaging steering feel</t>
        </is>
      </c>
      <c r="X318" s="14" t="inlineStr">
        <is>
          <t>A highly versatile 3-row mid-size family suv that delivers generous space, modern safety tech, and daily utility.</t>
        </is>
      </c>
      <c r="Y318" s="15" t="inlineStr">
        <is>
          <t>https://hips.hearstapps.com/hmg-prod/images/2026-subaru-ascent.jpg</t>
        </is>
      </c>
      <c r="Z318" s="15" t="inlineStr">
        <is>
          <t>https://www.caranddriver.com/subaru/ascent</t>
        </is>
      </c>
      <c r="AA318" s="5" t="inlineStr">
        <is>
          <t>Car and Driver Buyer's Guide</t>
        </is>
      </c>
    </row>
    <row r="319" ht="48" customHeight="1">
      <c r="A319" s="16" t="n">
        <v>2026</v>
      </c>
      <c r="B319" s="17" t="inlineStr">
        <is>
          <t>Subaru</t>
        </is>
      </c>
      <c r="C319" s="17" t="inlineStr">
        <is>
          <t>Solterra</t>
        </is>
      </c>
      <c r="D319" s="17" t="inlineStr">
        <is>
          <t>Touring AWD</t>
        </is>
      </c>
      <c r="E319" s="17" t="inlineStr">
        <is>
          <t>Compact Electric SUV</t>
        </is>
      </c>
      <c r="F319" s="17" t="inlineStr">
        <is>
          <t>Electric</t>
        </is>
      </c>
      <c r="G319" s="18" t="n">
        <v>52000</v>
      </c>
      <c r="H319" s="19" t="n">
        <v>215</v>
      </c>
      <c r="I319" s="19" t="n">
        <v>249</v>
      </c>
      <c r="J319" s="17" t="inlineStr">
        <is>
          <t>Dual Electric Motors</t>
        </is>
      </c>
      <c r="K319" s="16" t="inlineStr">
        <is>
          <t>N/A</t>
        </is>
      </c>
      <c r="L319" s="16" t="n">
        <v>0</v>
      </c>
      <c r="M319" s="17" t="inlineStr">
        <is>
          <t>1-Speed Direct</t>
        </is>
      </c>
      <c r="N319" s="16" t="inlineStr">
        <is>
          <t>Symmetrical AWD</t>
        </is>
      </c>
      <c r="O319" s="16" t="inlineStr">
        <is>
          <t>102 MPGe</t>
        </is>
      </c>
      <c r="P319" s="16" t="inlineStr">
        <is>
          <t>227</t>
        </is>
      </c>
      <c r="Q319" s="22" t="n">
        <v>72.8</v>
      </c>
      <c r="R319" s="16" t="n">
        <v>5</v>
      </c>
      <c r="S319" s="22" t="n">
        <v>29</v>
      </c>
      <c r="T319" s="19" t="n">
        <v>1500</v>
      </c>
      <c r="U319" s="28" t="inlineStr">
        <is>
          <t>7.0/10</t>
        </is>
      </c>
      <c r="V319" s="24" t="inlineStr">
        <is>
          <t xml:space="preserve"> • Silent, instantaneous acceleration
 • Low center of gravity enhances stability
 • Zero tailpipe emissions</t>
        </is>
      </c>
      <c r="W319" s="25" t="inlineStr">
        <is>
          <t xml:space="preserve"> • Highway range drops at sustained speed
 • Public charging network variability
 • Pricier initial purchase cost</t>
        </is>
      </c>
      <c r="X319" s="26" t="inlineStr">
        <is>
          <t>A compelling electric entry in the compact electric suv segment offering smooth power delivery and advanced tech.</t>
        </is>
      </c>
      <c r="Y319" s="27" t="inlineStr">
        <is>
          <t>https://hips.hearstapps.com/hmg-prod/images/2026-subaru-solterra.jpg</t>
        </is>
      </c>
      <c r="Z319" s="27" t="inlineStr">
        <is>
          <t>https://www.caranddriver.com/subaru/solterra</t>
        </is>
      </c>
      <c r="AA319" s="17" t="inlineStr">
        <is>
          <t>Car and Driver Buyer's Guide</t>
        </is>
      </c>
    </row>
    <row r="320" ht="48" customHeight="1">
      <c r="A320" s="4" t="n">
        <v>2026</v>
      </c>
      <c r="B320" s="5" t="inlineStr">
        <is>
          <t>Tesla</t>
        </is>
      </c>
      <c r="C320" s="5" t="inlineStr">
        <is>
          <t>Model 3</t>
        </is>
      </c>
      <c r="D320" s="5" t="inlineStr">
        <is>
          <t>Long Range AWD</t>
        </is>
      </c>
      <c r="E320" s="5" t="inlineStr">
        <is>
          <t>Compact Luxury EV Sedan</t>
        </is>
      </c>
      <c r="F320" s="5" t="inlineStr">
        <is>
          <t>Electric</t>
        </is>
      </c>
      <c r="G320" s="6" t="n">
        <v>47490</v>
      </c>
      <c r="H320" s="7" t="n">
        <v>394</v>
      </c>
      <c r="I320" s="7" t="n">
        <v>377</v>
      </c>
      <c r="J320" s="5" t="inlineStr">
        <is>
          <t>Dual Motors</t>
        </is>
      </c>
      <c r="K320" s="4" t="inlineStr">
        <is>
          <t>N/A</t>
        </is>
      </c>
      <c r="L320" s="4" t="n">
        <v>0</v>
      </c>
      <c r="M320" s="5" t="inlineStr">
        <is>
          <t>1-Speed Direct</t>
        </is>
      </c>
      <c r="N320" s="4" t="inlineStr">
        <is>
          <t>AWD</t>
        </is>
      </c>
      <c r="O320" s="4" t="inlineStr">
        <is>
          <t>131 MPGe</t>
        </is>
      </c>
      <c r="P320" s="4" t="inlineStr">
        <is>
          <t>341</t>
        </is>
      </c>
      <c r="Q320" s="10" t="n">
        <v>82</v>
      </c>
      <c r="R320" s="4" t="n">
        <v>5</v>
      </c>
      <c r="S320" s="10" t="n">
        <v>21</v>
      </c>
      <c r="T320" s="4" t="inlineStr">
        <is>
          <t>N/A</t>
        </is>
      </c>
      <c r="U320" s="29" t="inlineStr">
        <is>
          <t>9.5/10</t>
        </is>
      </c>
      <c r="V320" s="12" t="inlineStr">
        <is>
          <t xml:space="preserve"> • Industry-leading Supercharger network access
 • Exceptional energy efficiency
 • Rapid acceleration</t>
        </is>
      </c>
      <c r="W320" s="13" t="inlineStr">
        <is>
          <t xml:space="preserve"> • All controls routed to center touchscreen
 • Lack of Apple CarPlay / Android Auto
 • Firm ride quality</t>
        </is>
      </c>
      <c r="X320" s="14" t="inlineStr">
        <is>
          <t>The definitive benchmark for mainstream EV range, software responsiveness, and charging convenience.</t>
        </is>
      </c>
      <c r="Y320" s="15" t="inlineStr">
        <is>
          <t>https://hips.hearstapps.com/hmg-prod/images/2026-tesla-model-3.jpg</t>
        </is>
      </c>
      <c r="Z320" s="15" t="inlineStr">
        <is>
          <t>https://www.caranddriver.com/tesla/model-3</t>
        </is>
      </c>
      <c r="AA320" s="5" t="inlineStr">
        <is>
          <t>Car and Driver Editors' Choice</t>
        </is>
      </c>
    </row>
    <row r="321" ht="48" customHeight="1">
      <c r="A321" s="16" t="n">
        <v>2026</v>
      </c>
      <c r="B321" s="17" t="inlineStr">
        <is>
          <t>Tesla</t>
        </is>
      </c>
      <c r="C321" s="17" t="inlineStr">
        <is>
          <t>Model 3</t>
        </is>
      </c>
      <c r="D321" s="17" t="inlineStr">
        <is>
          <t>Performance Ludicrous AWD</t>
        </is>
      </c>
      <c r="E321" s="17" t="inlineStr">
        <is>
          <t>Compact Luxury EV Sport Sedan</t>
        </is>
      </c>
      <c r="F321" s="17" t="inlineStr">
        <is>
          <t>Electric</t>
        </is>
      </c>
      <c r="G321" s="18" t="n">
        <v>54990</v>
      </c>
      <c r="H321" s="19" t="n">
        <v>510</v>
      </c>
      <c r="I321" s="19" t="n">
        <v>554</v>
      </c>
      <c r="J321" s="17" t="inlineStr">
        <is>
          <t>Dual High-Output Motors</t>
        </is>
      </c>
      <c r="K321" s="16" t="inlineStr">
        <is>
          <t>N/A</t>
        </is>
      </c>
      <c r="L321" s="16" t="n">
        <v>0</v>
      </c>
      <c r="M321" s="17" t="inlineStr">
        <is>
          <t>1-Speed Direct</t>
        </is>
      </c>
      <c r="N321" s="16" t="inlineStr">
        <is>
          <t>AWD</t>
        </is>
      </c>
      <c r="O321" s="16" t="inlineStr">
        <is>
          <t>110 MPGe</t>
        </is>
      </c>
      <c r="P321" s="16" t="inlineStr">
        <is>
          <t>303</t>
        </is>
      </c>
      <c r="Q321" s="22" t="n">
        <v>82</v>
      </c>
      <c r="R321" s="16" t="n">
        <v>5</v>
      </c>
      <c r="S321" s="22" t="n">
        <v>21</v>
      </c>
      <c r="T321" s="16" t="inlineStr">
        <is>
          <t>N/A</t>
        </is>
      </c>
      <c r="U321" s="23" t="inlineStr">
        <is>
          <t>9.5/10</t>
        </is>
      </c>
      <c r="V321" s="24" t="inlineStr">
        <is>
          <t xml:space="preserve"> • Industry-leading Supercharger network access
 • Exceptional energy efficiency
 • Rapid acceleration</t>
        </is>
      </c>
      <c r="W321" s="25" t="inlineStr">
        <is>
          <t xml:space="preserve"> • All controls routed to center touchscreen
 • Lack of Apple CarPlay / Android Auto
 • Firm ride quality</t>
        </is>
      </c>
      <c r="X321" s="26" t="inlineStr">
        <is>
          <t>The definitive benchmark for mainstream EV range, software responsiveness, and charging convenience.</t>
        </is>
      </c>
      <c r="Y321" s="27" t="inlineStr">
        <is>
          <t>https://hips.hearstapps.com/hmg-prod/images/2026-tesla-model-3.jpg</t>
        </is>
      </c>
      <c r="Z321" s="27" t="inlineStr">
        <is>
          <t>https://www.caranddriver.com/tesla/model-3</t>
        </is>
      </c>
      <c r="AA321" s="17" t="inlineStr">
        <is>
          <t>Car and Driver 10Best Winner</t>
        </is>
      </c>
    </row>
    <row r="322" ht="48" customHeight="1">
      <c r="A322" s="4" t="n">
        <v>2026</v>
      </c>
      <c r="B322" s="5" t="inlineStr">
        <is>
          <t>Tesla</t>
        </is>
      </c>
      <c r="C322" s="5" t="inlineStr">
        <is>
          <t>Model Y</t>
        </is>
      </c>
      <c r="D322" s="5" t="inlineStr">
        <is>
          <t>Long Range AWD (Juniper Refresh)</t>
        </is>
      </c>
      <c r="E322" s="5" t="inlineStr">
        <is>
          <t>Compact Crossover EV</t>
        </is>
      </c>
      <c r="F322" s="5" t="inlineStr">
        <is>
          <t>Electric</t>
        </is>
      </c>
      <c r="G322" s="6" t="n">
        <v>48990</v>
      </c>
      <c r="H322" s="7" t="n">
        <v>384</v>
      </c>
      <c r="I322" s="7" t="n">
        <v>376</v>
      </c>
      <c r="J322" s="5" t="inlineStr">
        <is>
          <t>Dual Electric Motors</t>
        </is>
      </c>
      <c r="K322" s="4" t="inlineStr">
        <is>
          <t>N/A</t>
        </is>
      </c>
      <c r="L322" s="4" t="n">
        <v>0</v>
      </c>
      <c r="M322" s="5" t="inlineStr">
        <is>
          <t>1-Speed Direct</t>
        </is>
      </c>
      <c r="N322" s="4" t="inlineStr">
        <is>
          <t>AWD</t>
        </is>
      </c>
      <c r="O322" s="4" t="inlineStr">
        <is>
          <t>122 MPGe</t>
        </is>
      </c>
      <c r="P322" s="4" t="inlineStr">
        <is>
          <t>310</t>
        </is>
      </c>
      <c r="Q322" s="10" t="n">
        <v>81</v>
      </c>
      <c r="R322" s="4" t="n">
        <v>5</v>
      </c>
      <c r="S322" s="10" t="n">
        <v>30.2</v>
      </c>
      <c r="T322" s="7" t="n">
        <v>3500</v>
      </c>
      <c r="U322" s="11" t="inlineStr">
        <is>
          <t>8.5/10</t>
        </is>
      </c>
      <c r="V322" s="12" t="inlineStr">
        <is>
          <t xml:space="preserve"> • Industry-leading Supercharger network access
 • Exceptional energy efficiency
 • Rapid acceleration</t>
        </is>
      </c>
      <c r="W322" s="13" t="inlineStr">
        <is>
          <t xml:space="preserve"> • All controls routed to center touchscreen
 • Lack of Apple CarPlay / Android Auto
 • Firm ride quality</t>
        </is>
      </c>
      <c r="X322" s="14" t="inlineStr">
        <is>
          <t>The definitive benchmark for mainstream EV range, software responsiveness, and charging convenience.</t>
        </is>
      </c>
      <c r="Y322" s="15" t="inlineStr">
        <is>
          <t>https://hips.hearstapps.com/hmg-prod/images/2026-tesla-model-y.jpg</t>
        </is>
      </c>
      <c r="Z322" s="15" t="inlineStr">
        <is>
          <t>https://www.caranddriver.com/tesla/model-y</t>
        </is>
      </c>
      <c r="AA322" s="5" t="inlineStr">
        <is>
          <t>Car and Driver Buyer's Guide</t>
        </is>
      </c>
    </row>
    <row r="323" ht="48" customHeight="1">
      <c r="A323" s="16" t="n">
        <v>2026</v>
      </c>
      <c r="B323" s="17" t="inlineStr">
        <is>
          <t>Tesla</t>
        </is>
      </c>
      <c r="C323" s="17" t="inlineStr">
        <is>
          <t>Model S</t>
        </is>
      </c>
      <c r="D323" s="17" t="inlineStr">
        <is>
          <t>Plaid Tri-Motor</t>
        </is>
      </c>
      <c r="E323" s="17" t="inlineStr">
        <is>
          <t>Full-Size High-Perf EV Sedan</t>
        </is>
      </c>
      <c r="F323" s="17" t="inlineStr">
        <is>
          <t>Electric</t>
        </is>
      </c>
      <c r="G323" s="18" t="n">
        <v>89990</v>
      </c>
      <c r="H323" s="19" t="n">
        <v>1020</v>
      </c>
      <c r="I323" s="19" t="n">
        <v>1050</v>
      </c>
      <c r="J323" s="17" t="inlineStr">
        <is>
          <t>Tri-Motor Carbon-Sleeved Drive</t>
        </is>
      </c>
      <c r="K323" s="16" t="inlineStr">
        <is>
          <t>N/A</t>
        </is>
      </c>
      <c r="L323" s="16" t="n">
        <v>0</v>
      </c>
      <c r="M323" s="17" t="inlineStr">
        <is>
          <t>1-Speed Direct</t>
        </is>
      </c>
      <c r="N323" s="16" t="inlineStr">
        <is>
          <t>AWD</t>
        </is>
      </c>
      <c r="O323" s="16" t="inlineStr">
        <is>
          <t>116 MPGe</t>
        </is>
      </c>
      <c r="P323" s="16" t="inlineStr">
        <is>
          <t>359</t>
        </is>
      </c>
      <c r="Q323" s="22" t="n">
        <v>100</v>
      </c>
      <c r="R323" s="16" t="n">
        <v>5</v>
      </c>
      <c r="S323" s="22" t="n">
        <v>25</v>
      </c>
      <c r="T323" s="16" t="inlineStr">
        <is>
          <t>N/A</t>
        </is>
      </c>
      <c r="U323" s="28" t="inlineStr">
        <is>
          <t>9.0/10</t>
        </is>
      </c>
      <c r="V323" s="24" t="inlineStr">
        <is>
          <t xml:space="preserve"> • Silent, instantaneous acceleration
 • Low center of gravity enhances stability
 • Zero tailpipe emissions</t>
        </is>
      </c>
      <c r="W323" s="25" t="inlineStr">
        <is>
          <t xml:space="preserve"> • Highway range drops at sustained speed
 • Public charging network variability
 • Pricier initial purchase cost</t>
        </is>
      </c>
      <c r="X323" s="26" t="inlineStr">
        <is>
          <t>A compelling electric entry in the full-size high-perf ev sedan segment offering smooth power delivery and advanced tech.</t>
        </is>
      </c>
      <c r="Y323" s="27" t="inlineStr">
        <is>
          <t>https://hips.hearstapps.com/hmg-prod/images/2026-tesla-model-s.jpg</t>
        </is>
      </c>
      <c r="Z323" s="27" t="inlineStr">
        <is>
          <t>https://www.caranddriver.com/tesla/model-s</t>
        </is>
      </c>
      <c r="AA323" s="17" t="inlineStr">
        <is>
          <t>Car and Driver Editors' Choice</t>
        </is>
      </c>
    </row>
    <row r="324" ht="48" customHeight="1">
      <c r="A324" s="4" t="n">
        <v>2026</v>
      </c>
      <c r="B324" s="5" t="inlineStr">
        <is>
          <t>Tesla</t>
        </is>
      </c>
      <c r="C324" s="5" t="inlineStr">
        <is>
          <t>Model X</t>
        </is>
      </c>
      <c r="D324" s="5" t="inlineStr">
        <is>
          <t>Plaid Tri-Motor</t>
        </is>
      </c>
      <c r="E324" s="5" t="inlineStr">
        <is>
          <t>Mid-Size Performance Luxury EV SUV</t>
        </is>
      </c>
      <c r="F324" s="5" t="inlineStr">
        <is>
          <t>Electric</t>
        </is>
      </c>
      <c r="G324" s="6" t="n">
        <v>94990</v>
      </c>
      <c r="H324" s="7" t="n">
        <v>1020</v>
      </c>
      <c r="I324" s="7" t="n">
        <v>1050</v>
      </c>
      <c r="J324" s="5" t="inlineStr">
        <is>
          <t>Tri-Motor Electric Drive</t>
        </is>
      </c>
      <c r="K324" s="4" t="inlineStr">
        <is>
          <t>N/A</t>
        </is>
      </c>
      <c r="L324" s="4" t="n">
        <v>0</v>
      </c>
      <c r="M324" s="5" t="inlineStr">
        <is>
          <t>1-Speed Direct</t>
        </is>
      </c>
      <c r="N324" s="4" t="inlineStr">
        <is>
          <t>AWD</t>
        </is>
      </c>
      <c r="O324" s="4" t="inlineStr">
        <is>
          <t>98 MPGe</t>
        </is>
      </c>
      <c r="P324" s="4" t="inlineStr">
        <is>
          <t>326</t>
        </is>
      </c>
      <c r="Q324" s="10" t="n">
        <v>100</v>
      </c>
      <c r="R324" s="4" t="n">
        <v>6</v>
      </c>
      <c r="S324" s="10" t="n">
        <v>15</v>
      </c>
      <c r="T324" s="7" t="n">
        <v>5000</v>
      </c>
      <c r="U324" s="11" t="inlineStr">
        <is>
          <t>8.5/10</t>
        </is>
      </c>
      <c r="V324" s="12" t="inlineStr">
        <is>
          <t xml:space="preserve"> • Silent, instantaneous acceleration
 • Low center of gravity enhances stability
 • Zero tailpipe emissions</t>
        </is>
      </c>
      <c r="W324" s="13" t="inlineStr">
        <is>
          <t xml:space="preserve"> • Highway range drops at sustained speed
 • Public charging network variability
 • Pricier initial purchase cost</t>
        </is>
      </c>
      <c r="X324" s="14" t="inlineStr">
        <is>
          <t>A compelling electric entry in the mid-size performance luxury ev suv segment offering smooth power delivery and advanced tech.</t>
        </is>
      </c>
      <c r="Y324" s="15" t="inlineStr">
        <is>
          <t>https://hips.hearstapps.com/hmg-prod/images/2026-tesla-model-x.jpg</t>
        </is>
      </c>
      <c r="Z324" s="15" t="inlineStr">
        <is>
          <t>https://www.caranddriver.com/tesla/model-x</t>
        </is>
      </c>
      <c r="AA324" s="5" t="inlineStr">
        <is>
          <t>Car and Driver Buyer's Guide</t>
        </is>
      </c>
    </row>
    <row r="325" ht="48" customHeight="1">
      <c r="A325" s="16" t="n">
        <v>2026</v>
      </c>
      <c r="B325" s="17" t="inlineStr">
        <is>
          <t>Tesla</t>
        </is>
      </c>
      <c r="C325" s="17" t="inlineStr">
        <is>
          <t>Cybertruck</t>
        </is>
      </c>
      <c r="D325" s="17" t="inlineStr">
        <is>
          <t>Cyberbeast Tri-Motor</t>
        </is>
      </c>
      <c r="E325" s="17" t="inlineStr">
        <is>
          <t>Full-Size Heavy EV Pickup</t>
        </is>
      </c>
      <c r="F325" s="17" t="inlineStr">
        <is>
          <t>Electric</t>
        </is>
      </c>
      <c r="G325" s="18" t="n">
        <v>99990</v>
      </c>
      <c r="H325" s="19" t="n">
        <v>845</v>
      </c>
      <c r="I325" s="19" t="n">
        <v>864</v>
      </c>
      <c r="J325" s="17" t="inlineStr">
        <is>
          <t>Tri-Motor Drive</t>
        </is>
      </c>
      <c r="K325" s="16" t="inlineStr">
        <is>
          <t>N/A</t>
        </is>
      </c>
      <c r="L325" s="16" t="n">
        <v>0</v>
      </c>
      <c r="M325" s="17" t="inlineStr">
        <is>
          <t>1-Speed Direct</t>
        </is>
      </c>
      <c r="N325" s="16" t="inlineStr">
        <is>
          <t>AWD</t>
        </is>
      </c>
      <c r="O325" s="16" t="inlineStr">
        <is>
          <t>63 MPGe</t>
        </is>
      </c>
      <c r="P325" s="16" t="inlineStr">
        <is>
          <t>301</t>
        </is>
      </c>
      <c r="Q325" s="22" t="n">
        <v>123</v>
      </c>
      <c r="R325" s="16" t="n">
        <v>5</v>
      </c>
      <c r="S325" s="22" t="n">
        <v>53</v>
      </c>
      <c r="T325" s="19" t="n">
        <v>11000</v>
      </c>
      <c r="U325" s="28" t="inlineStr">
        <is>
          <t>7.5/10</t>
        </is>
      </c>
      <c r="V325" s="24" t="inlineStr">
        <is>
          <t xml:space="preserve"> • Silent, instantaneous acceleration
 • Low center of gravity enhances stability
 • Zero tailpipe emissions</t>
        </is>
      </c>
      <c r="W325" s="25" t="inlineStr">
        <is>
          <t xml:space="preserve"> • Highway range drops at sustained speed
 • Public charging network variability
 • Pricier initial purchase cost</t>
        </is>
      </c>
      <c r="X325" s="26" t="inlineStr">
        <is>
          <t>A compelling electric entry in the full-size heavy ev pickup segment offering smooth power delivery and advanced tech.</t>
        </is>
      </c>
      <c r="Y325" s="27" t="inlineStr">
        <is>
          <t>https://hips.hearstapps.com/hmg-prod/images/2026-tesla-cybertruck.jpg</t>
        </is>
      </c>
      <c r="Z325" s="27" t="inlineStr">
        <is>
          <t>https://www.caranddriver.com/tesla/cybertruck</t>
        </is>
      </c>
      <c r="AA325" s="17" t="inlineStr">
        <is>
          <t>Car and Driver Tested</t>
        </is>
      </c>
    </row>
    <row r="326" ht="48" customHeight="1">
      <c r="A326" s="4" t="n">
        <v>2026</v>
      </c>
      <c r="B326" s="5" t="inlineStr">
        <is>
          <t>Toyota</t>
        </is>
      </c>
      <c r="C326" s="5" t="inlineStr">
        <is>
          <t>Corolla</t>
        </is>
      </c>
      <c r="D326" s="5" t="inlineStr">
        <is>
          <t>XSE Sedan</t>
        </is>
      </c>
      <c r="E326" s="5" t="inlineStr">
        <is>
          <t>Compact Sedan</t>
        </is>
      </c>
      <c r="F326" s="5" t="inlineStr">
        <is>
          <t>Gasoline</t>
        </is>
      </c>
      <c r="G326" s="6" t="n">
        <v>28000</v>
      </c>
      <c r="H326" s="7" t="n">
        <v>169</v>
      </c>
      <c r="I326" s="7" t="n">
        <v>151</v>
      </c>
      <c r="J326" s="5" t="inlineStr">
        <is>
          <t>2.0L Dynamic Force I4</t>
        </is>
      </c>
      <c r="K326" s="8" t="n">
        <v>2</v>
      </c>
      <c r="L326" s="4" t="n">
        <v>4</v>
      </c>
      <c r="M326" s="5" t="inlineStr">
        <is>
          <t>CVT</t>
        </is>
      </c>
      <c r="N326" s="4" t="inlineStr">
        <is>
          <t>FWD</t>
        </is>
      </c>
      <c r="O326" s="4" t="inlineStr">
        <is>
          <t>34 (31/40)</t>
        </is>
      </c>
      <c r="P326" s="4" t="inlineStr">
        <is>
          <t>N/A</t>
        </is>
      </c>
      <c r="Q326" s="9" t="inlineStr">
        <is>
          <t>N/A</t>
        </is>
      </c>
      <c r="R326" s="4" t="n">
        <v>5</v>
      </c>
      <c r="S326" s="10" t="n">
        <v>13.1</v>
      </c>
      <c r="T326" s="4" t="inlineStr">
        <is>
          <t>N/A</t>
        </is>
      </c>
      <c r="U326" s="11" t="inlineStr">
        <is>
          <t>8.0/10</t>
        </is>
      </c>
      <c r="V326" s="12" t="inlineStr">
        <is>
          <t xml:space="preserve"> • Sharper handling dynamics than taller SUVs
 • Superior highway fuel economy
 • Easy maneuvering in urban spaces</t>
        </is>
      </c>
      <c r="W326" s="13" t="inlineStr">
        <is>
          <t xml:space="preserve"> • Less cargo flexibility than crossovers
 • Lower seating hip point for ingress
 • Fewer AWD options</t>
        </is>
      </c>
      <c r="X326" s="14" t="inlineStr">
        <is>
          <t>A well-proportioned compact sedan offering superior driving manners and efficiency over conventional crossovers.</t>
        </is>
      </c>
      <c r="Y326" s="15" t="inlineStr">
        <is>
          <t>https://hips.hearstapps.com/hmg-prod/images/2026-toyota-corolla.jpg</t>
        </is>
      </c>
      <c r="Z326" s="15" t="inlineStr">
        <is>
          <t>https://www.caranddriver.com/toyota/corolla</t>
        </is>
      </c>
      <c r="AA326" s="5" t="inlineStr">
        <is>
          <t>Car and Driver Buyer's Guide</t>
        </is>
      </c>
    </row>
    <row r="327" ht="48" customHeight="1">
      <c r="A327" s="16" t="n">
        <v>2026</v>
      </c>
      <c r="B327" s="17" t="inlineStr">
        <is>
          <t>Toyota</t>
        </is>
      </c>
      <c r="C327" s="17" t="inlineStr">
        <is>
          <t>Corolla Hybrid</t>
        </is>
      </c>
      <c r="D327" s="17" t="inlineStr">
        <is>
          <t>XLE Hybrid AWD</t>
        </is>
      </c>
      <c r="E327" s="17" t="inlineStr">
        <is>
          <t>Compact Hybrid Sedan</t>
        </is>
      </c>
      <c r="F327" s="17" t="inlineStr">
        <is>
          <t>Gas-Electric Hybrid</t>
        </is>
      </c>
      <c r="G327" s="18" t="n">
        <v>29500</v>
      </c>
      <c r="H327" s="19" t="n">
        <v>138</v>
      </c>
      <c r="I327" s="19" t="n">
        <v>156</v>
      </c>
      <c r="J327" s="17" t="inlineStr">
        <is>
          <t>1.8L I4 + Motor</t>
        </is>
      </c>
      <c r="K327" s="20" t="n">
        <v>1.8</v>
      </c>
      <c r="L327" s="16" t="n">
        <v>4</v>
      </c>
      <c r="M327" s="17" t="inlineStr">
        <is>
          <t>eCVT</t>
        </is>
      </c>
      <c r="N327" s="16" t="inlineStr">
        <is>
          <t>AWD</t>
        </is>
      </c>
      <c r="O327" s="16" t="inlineStr">
        <is>
          <t>48 (51/44)</t>
        </is>
      </c>
      <c r="P327" s="16" t="inlineStr">
        <is>
          <t>N/A</t>
        </is>
      </c>
      <c r="Q327" s="22" t="n">
        <v>1</v>
      </c>
      <c r="R327" s="16" t="n">
        <v>5</v>
      </c>
      <c r="S327" s="22" t="n">
        <v>13.1</v>
      </c>
      <c r="T327" s="16" t="inlineStr">
        <is>
          <t>N/A</t>
        </is>
      </c>
      <c r="U327" s="28" t="inlineStr">
        <is>
          <t>8.5/10</t>
        </is>
      </c>
      <c r="V327" s="24" t="inlineStr">
        <is>
          <t xml:space="preserve"> • Superb real-world fuel economy
 • Smooth electric-gas power handover
 • No range anxiety on long trips</t>
        </is>
      </c>
      <c r="W327" s="25" t="inlineStr">
        <is>
          <t xml:space="preserve"> • Added curb weight from battery packs
 • Slightly compromised cargo space
 • eCVT engine flare during passing</t>
        </is>
      </c>
      <c r="X327" s="26" t="inlineStr">
        <is>
          <t>A finely engineered gas-electric hybrid compact hybrid sedan striking the optimal balance between high efficiency and long-distance practicality.</t>
        </is>
      </c>
      <c r="Y327" s="27" t="inlineStr">
        <is>
          <t>https://hips.hearstapps.com/hmg-prod/images/2026-toyota-corolla-hybrid.jpg</t>
        </is>
      </c>
      <c r="Z327" s="27" t="inlineStr">
        <is>
          <t>https://www.caranddriver.com/toyota/corolla-hybrid</t>
        </is>
      </c>
      <c r="AA327" s="17" t="inlineStr">
        <is>
          <t>Car and Driver Buyer's Guide</t>
        </is>
      </c>
    </row>
    <row r="328" ht="48" customHeight="1">
      <c r="A328" s="4" t="n">
        <v>2026</v>
      </c>
      <c r="B328" s="5" t="inlineStr">
        <is>
          <t>Toyota</t>
        </is>
      </c>
      <c r="C328" s="5" t="inlineStr">
        <is>
          <t>GR Corolla</t>
        </is>
      </c>
      <c r="D328" s="5" t="inlineStr">
        <is>
          <t>Premium 6MT</t>
        </is>
      </c>
      <c r="E328" s="5" t="inlineStr">
        <is>
          <t>Hot Hatchback</t>
        </is>
      </c>
      <c r="F328" s="5" t="inlineStr">
        <is>
          <t>Gasoline</t>
        </is>
      </c>
      <c r="G328" s="6" t="n">
        <v>42575</v>
      </c>
      <c r="H328" s="7" t="n">
        <v>300</v>
      </c>
      <c r="I328" s="7" t="n">
        <v>295</v>
      </c>
      <c r="J328" s="5" t="inlineStr">
        <is>
          <t>1.6L Turbo 3-Cyl</t>
        </is>
      </c>
      <c r="K328" s="8" t="n">
        <v>1.6</v>
      </c>
      <c r="L328" s="4" t="n">
        <v>3</v>
      </c>
      <c r="M328" s="5" t="inlineStr">
        <is>
          <t>6-Speed Manual</t>
        </is>
      </c>
      <c r="N328" s="4" t="inlineStr">
        <is>
          <t>GR-FOUR AWD</t>
        </is>
      </c>
      <c r="O328" s="4" t="inlineStr">
        <is>
          <t>24 (21/28)</t>
        </is>
      </c>
      <c r="P328" s="4" t="inlineStr">
        <is>
          <t>N/A</t>
        </is>
      </c>
      <c r="Q328" s="9" t="inlineStr">
        <is>
          <t>N/A</t>
        </is>
      </c>
      <c r="R328" s="4" t="n">
        <v>5</v>
      </c>
      <c r="S328" s="10" t="n">
        <v>17.8</v>
      </c>
      <c r="T328" s="4" t="inlineStr">
        <is>
          <t>N/A</t>
        </is>
      </c>
      <c r="U328" s="29" t="inlineStr">
        <is>
          <t>10/10</t>
        </is>
      </c>
      <c r="V328" s="12" t="inlineStr">
        <is>
          <t xml:space="preserve"> • Sharper handling dynamics than taller SUVs
 • Superior highway fuel economy
 • Easy maneuvering in urban spaces</t>
        </is>
      </c>
      <c r="W328" s="13" t="inlineStr">
        <is>
          <t xml:space="preserve"> • Less cargo flexibility than crossovers
 • Lower seating hip point for ingress
 • Fewer AWD options</t>
        </is>
      </c>
      <c r="X328" s="14" t="inlineStr">
        <is>
          <t>A well-proportioned hot hatchback offering superior driving manners and efficiency over conventional crossovers.</t>
        </is>
      </c>
      <c r="Y328" s="15" t="inlineStr">
        <is>
          <t>https://hips.hearstapps.com/hmg-prod/images/2026-toyota-gr-corolla.jpg</t>
        </is>
      </c>
      <c r="Z328" s="15" t="inlineStr">
        <is>
          <t>https://www.caranddriver.com/toyota/gr-corolla</t>
        </is>
      </c>
      <c r="AA328" s="5" t="inlineStr">
        <is>
          <t>Car and Driver 10Best Winner</t>
        </is>
      </c>
    </row>
    <row r="329" ht="48" customHeight="1">
      <c r="A329" s="16" t="n">
        <v>2026</v>
      </c>
      <c r="B329" s="17" t="inlineStr">
        <is>
          <t>Toyota</t>
        </is>
      </c>
      <c r="C329" s="17" t="inlineStr">
        <is>
          <t>GR86</t>
        </is>
      </c>
      <c r="D329" s="17" t="inlineStr">
        <is>
          <t>Premium 6MT</t>
        </is>
      </c>
      <c r="E329" s="17" t="inlineStr">
        <is>
          <t>Compact 2+2 Sports Coupe</t>
        </is>
      </c>
      <c r="F329" s="17" t="inlineStr">
        <is>
          <t>Gasoline</t>
        </is>
      </c>
      <c r="G329" s="18" t="n">
        <v>33500</v>
      </c>
      <c r="H329" s="19" t="n">
        <v>228</v>
      </c>
      <c r="I329" s="19" t="n">
        <v>184</v>
      </c>
      <c r="J329" s="17" t="inlineStr">
        <is>
          <t>2.4L NA Boxer-4</t>
        </is>
      </c>
      <c r="K329" s="20" t="n">
        <v>2.4</v>
      </c>
      <c r="L329" s="16" t="n">
        <v>4</v>
      </c>
      <c r="M329" s="17" t="inlineStr">
        <is>
          <t>6-Speed Manual</t>
        </is>
      </c>
      <c r="N329" s="16" t="inlineStr">
        <is>
          <t>RWD</t>
        </is>
      </c>
      <c r="O329" s="16" t="inlineStr">
        <is>
          <t>22 (20/27)</t>
        </is>
      </c>
      <c r="P329" s="16" t="inlineStr">
        <is>
          <t>N/A</t>
        </is>
      </c>
      <c r="Q329" s="21" t="inlineStr">
        <is>
          <t>N/A</t>
        </is>
      </c>
      <c r="R329" s="16" t="n">
        <v>4</v>
      </c>
      <c r="S329" s="22" t="n">
        <v>6.3</v>
      </c>
      <c r="T329" s="16" t="inlineStr">
        <is>
          <t>N/A</t>
        </is>
      </c>
      <c r="U329" s="23" t="inlineStr">
        <is>
          <t>10/10</t>
        </is>
      </c>
      <c r="V329" s="24" t="inlineStr">
        <is>
          <t xml:space="preserve"> • Featherweight handling purity
 • Tactile manual gearbox and clutch
 • Accessible rear-wheel-drive thrills</t>
        </is>
      </c>
      <c r="W329" s="25" t="inlineStr">
        <is>
          <t xml:space="preserve"> • Cramped cockpit and trunk
 • Loud highway tire noise
 • Not practical as a primary family vehicle</t>
        </is>
      </c>
      <c r="X329" s="26" t="inlineStr">
        <is>
          <t>An endangered species of lightweight, analog sports car that rewards driving enthusiasts with every mile.</t>
        </is>
      </c>
      <c r="Y329" s="27" t="inlineStr">
        <is>
          <t>https://hips.hearstapps.com/hmg-prod/images/2026-toyota-gr86.jpg</t>
        </is>
      </c>
      <c r="Z329" s="27" t="inlineStr">
        <is>
          <t>https://www.caranddriver.com/toyota/gr86</t>
        </is>
      </c>
      <c r="AA329" s="17" t="inlineStr">
        <is>
          <t>Car and Driver 10Best Winner</t>
        </is>
      </c>
    </row>
    <row r="330" ht="48" customHeight="1">
      <c r="A330" s="4" t="n">
        <v>2026</v>
      </c>
      <c r="B330" s="5" t="inlineStr">
        <is>
          <t>Toyota</t>
        </is>
      </c>
      <c r="C330" s="5" t="inlineStr">
        <is>
          <t>GR Supra</t>
        </is>
      </c>
      <c r="D330" s="5" t="inlineStr">
        <is>
          <t>3.0 Premium 6MT</t>
        </is>
      </c>
      <c r="E330" s="5" t="inlineStr">
        <is>
          <t>Sports Coupe</t>
        </is>
      </c>
      <c r="F330" s="5" t="inlineStr">
        <is>
          <t>Gasoline</t>
        </is>
      </c>
      <c r="G330" s="6" t="n">
        <v>58550</v>
      </c>
      <c r="H330" s="7" t="n">
        <v>382</v>
      </c>
      <c r="I330" s="7" t="n">
        <v>368</v>
      </c>
      <c r="J330" s="5" t="inlineStr">
        <is>
          <t>3.0L Turbo I6 (B58)</t>
        </is>
      </c>
      <c r="K330" s="8" t="n">
        <v>3</v>
      </c>
      <c r="L330" s="4" t="n">
        <v>6</v>
      </c>
      <c r="M330" s="5" t="inlineStr">
        <is>
          <t>6-Speed Manual</t>
        </is>
      </c>
      <c r="N330" s="4" t="inlineStr">
        <is>
          <t>RWD</t>
        </is>
      </c>
      <c r="O330" s="4" t="inlineStr">
        <is>
          <t>21 (19/27)</t>
        </is>
      </c>
      <c r="P330" s="4" t="inlineStr">
        <is>
          <t>N/A</t>
        </is>
      </c>
      <c r="Q330" s="9" t="inlineStr">
        <is>
          <t>N/A</t>
        </is>
      </c>
      <c r="R330" s="4" t="n">
        <v>2</v>
      </c>
      <c r="S330" s="10" t="n">
        <v>10.2</v>
      </c>
      <c r="T330" s="4" t="inlineStr">
        <is>
          <t>N/A</t>
        </is>
      </c>
      <c r="U330" s="29" t="inlineStr">
        <is>
          <t>10/10</t>
        </is>
      </c>
      <c r="V330" s="12" t="inlineStr">
        <is>
          <t xml:space="preserve"> • Refined performance and chassis poise
 • Comfortable ergonomic cabin
 • Comprehensive safety suite</t>
        </is>
      </c>
      <c r="W330" s="13" t="inlineStr">
        <is>
          <t xml:space="preserve"> • Firm ride on optional large wheels
 • Option packages add up quickly
 • Infotainment learning curve</t>
        </is>
      </c>
      <c r="X330" s="14" t="inlineStr">
        <is>
          <t>A solid, well-rounded contender in the US sports coupe class with competitive dynamics.</t>
        </is>
      </c>
      <c r="Y330" s="15" t="inlineStr">
        <is>
          <t>https://hips.hearstapps.com/hmg-prod/images/2026-toyota-gr-supra.jpg</t>
        </is>
      </c>
      <c r="Z330" s="15" t="inlineStr">
        <is>
          <t>https://www.caranddriver.com/toyota/gr-supra</t>
        </is>
      </c>
      <c r="AA330" s="5" t="inlineStr">
        <is>
          <t>Car and Driver 10Best Winner</t>
        </is>
      </c>
    </row>
    <row r="331" ht="48" customHeight="1">
      <c r="A331" s="16" t="n">
        <v>2026</v>
      </c>
      <c r="B331" s="17" t="inlineStr">
        <is>
          <t>Toyota</t>
        </is>
      </c>
      <c r="C331" s="17" t="inlineStr">
        <is>
          <t>Prius</t>
        </is>
      </c>
      <c r="D331" s="17" t="inlineStr">
        <is>
          <t>Limited AWD</t>
        </is>
      </c>
      <c r="E331" s="17" t="inlineStr">
        <is>
          <t>Compact Hybrid Liftback</t>
        </is>
      </c>
      <c r="F331" s="17" t="inlineStr">
        <is>
          <t>Gas-Electric Hybrid</t>
        </is>
      </c>
      <c r="G331" s="18" t="n">
        <v>37000</v>
      </c>
      <c r="H331" s="19" t="n">
        <v>196</v>
      </c>
      <c r="I331" s="19" t="n">
        <v>139</v>
      </c>
      <c r="J331" s="17" t="inlineStr">
        <is>
          <t>2.0L Atkinson I4 + Motors</t>
        </is>
      </c>
      <c r="K331" s="20" t="n">
        <v>2</v>
      </c>
      <c r="L331" s="16" t="n">
        <v>4</v>
      </c>
      <c r="M331" s="17" t="inlineStr">
        <is>
          <t>eCVT</t>
        </is>
      </c>
      <c r="N331" s="16" t="inlineStr">
        <is>
          <t>Electronic AWD</t>
        </is>
      </c>
      <c r="O331" s="16" t="inlineStr">
        <is>
          <t>52 (52/52)</t>
        </is>
      </c>
      <c r="P331" s="16" t="inlineStr">
        <is>
          <t>N/A</t>
        </is>
      </c>
      <c r="Q331" s="22" t="n">
        <v>1</v>
      </c>
      <c r="R331" s="16" t="n">
        <v>5</v>
      </c>
      <c r="S331" s="22" t="n">
        <v>20.3</v>
      </c>
      <c r="T331" s="16" t="inlineStr">
        <is>
          <t>N/A</t>
        </is>
      </c>
      <c r="U331" s="23" t="inlineStr">
        <is>
          <t>10/10</t>
        </is>
      </c>
      <c r="V331" s="24" t="inlineStr">
        <is>
          <t xml:space="preserve"> • Superb real-world fuel economy
 • Smooth electric-gas power handover
 • No range anxiety on long trips</t>
        </is>
      </c>
      <c r="W331" s="25" t="inlineStr">
        <is>
          <t xml:space="preserve"> • Added curb weight from battery packs
 • Slightly compromised cargo space
 • eCVT engine flare during passing</t>
        </is>
      </c>
      <c r="X331" s="26" t="inlineStr">
        <is>
          <t>A finely engineered gas-electric hybrid compact hybrid liftback striking the optimal balance between high efficiency and long-distance practicality.</t>
        </is>
      </c>
      <c r="Y331" s="27" t="inlineStr">
        <is>
          <t>https://hips.hearstapps.com/hmg-prod/images/2026-toyota-prius.jpg</t>
        </is>
      </c>
      <c r="Z331" s="27" t="inlineStr">
        <is>
          <t>https://www.caranddriver.com/toyota/prius</t>
        </is>
      </c>
      <c r="AA331" s="17" t="inlineStr">
        <is>
          <t>Car and Driver 10Best Winner</t>
        </is>
      </c>
    </row>
    <row r="332" ht="48" customHeight="1">
      <c r="A332" s="4" t="n">
        <v>2026</v>
      </c>
      <c r="B332" s="5" t="inlineStr">
        <is>
          <t>Toyota</t>
        </is>
      </c>
      <c r="C332" s="5" t="inlineStr">
        <is>
          <t>Prius Prime</t>
        </is>
      </c>
      <c r="D332" s="5" t="inlineStr">
        <is>
          <t>XSE PHEV</t>
        </is>
      </c>
      <c r="E332" s="5" t="inlineStr">
        <is>
          <t>Compact Plug-in Hybrid</t>
        </is>
      </c>
      <c r="F332" s="5" t="inlineStr">
        <is>
          <t>PHEV</t>
        </is>
      </c>
      <c r="G332" s="6" t="n">
        <v>36225</v>
      </c>
      <c r="H332" s="7" t="n">
        <v>220</v>
      </c>
      <c r="I332" s="7" t="n">
        <v>139</v>
      </c>
      <c r="J332" s="5" t="inlineStr">
        <is>
          <t>2.0L Atkinson I4 + Motors</t>
        </is>
      </c>
      <c r="K332" s="8" t="n">
        <v>2</v>
      </c>
      <c r="L332" s="4" t="n">
        <v>4</v>
      </c>
      <c r="M332" s="5" t="inlineStr">
        <is>
          <t>eCVT</t>
        </is>
      </c>
      <c r="N332" s="4" t="inlineStr">
        <is>
          <t>FWD</t>
        </is>
      </c>
      <c r="O332" s="4" t="inlineStr">
        <is>
          <t>114 MPGe / 48 Comb</t>
        </is>
      </c>
      <c r="P332" s="4" t="inlineStr">
        <is>
          <t>39</t>
        </is>
      </c>
      <c r="Q332" s="10" t="n">
        <v>13.6</v>
      </c>
      <c r="R332" s="4" t="n">
        <v>5</v>
      </c>
      <c r="S332" s="10" t="n">
        <v>20.3</v>
      </c>
      <c r="T332" s="4" t="inlineStr">
        <is>
          <t>N/A</t>
        </is>
      </c>
      <c r="U332" s="29" t="inlineStr">
        <is>
          <t>10/10</t>
        </is>
      </c>
      <c r="V332" s="12" t="inlineStr">
        <is>
          <t xml:space="preserve"> • Superb real-world fuel economy
 • Smooth electric-gas power handover
 • No range anxiety on long trips</t>
        </is>
      </c>
      <c r="W332" s="13" t="inlineStr">
        <is>
          <t xml:space="preserve"> • Added curb weight from battery packs
 • Slightly compromised cargo space
 • eCVT engine flare during passing</t>
        </is>
      </c>
      <c r="X332" s="14" t="inlineStr">
        <is>
          <t>A finely engineered phev compact plug-in hybrid striking the optimal balance between high efficiency and long-distance practicality.</t>
        </is>
      </c>
      <c r="Y332" s="15" t="inlineStr">
        <is>
          <t>https://hips.hearstapps.com/hmg-prod/images/2026-toyota-prius-prime.jpg</t>
        </is>
      </c>
      <c r="Z332" s="15" t="inlineStr">
        <is>
          <t>https://www.caranddriver.com/toyota/prius-prime</t>
        </is>
      </c>
      <c r="AA332" s="5" t="inlineStr">
        <is>
          <t>Car and Driver 10Best Winner</t>
        </is>
      </c>
    </row>
    <row r="333" ht="48" customHeight="1">
      <c r="A333" s="16" t="n">
        <v>2026</v>
      </c>
      <c r="B333" s="17" t="inlineStr">
        <is>
          <t>Toyota</t>
        </is>
      </c>
      <c r="C333" s="17" t="inlineStr">
        <is>
          <t>Camry</t>
        </is>
      </c>
      <c r="D333" s="17" t="inlineStr">
        <is>
          <t>XLE Hybrid</t>
        </is>
      </c>
      <c r="E333" s="17" t="inlineStr">
        <is>
          <t>Mid-Size Sedan</t>
        </is>
      </c>
      <c r="F333" s="17" t="inlineStr">
        <is>
          <t>Gas-Electric Hybrid</t>
        </is>
      </c>
      <c r="G333" s="18" t="n">
        <v>34495</v>
      </c>
      <c r="H333" s="19" t="n">
        <v>225</v>
      </c>
      <c r="I333" s="19" t="n">
        <v>163</v>
      </c>
      <c r="J333" s="17" t="inlineStr">
        <is>
          <t>2.5L DOHC 16V I4 Hybrid</t>
        </is>
      </c>
      <c r="K333" s="20" t="n">
        <v>2.5</v>
      </c>
      <c r="L333" s="16" t="n">
        <v>4</v>
      </c>
      <c r="M333" s="17" t="inlineStr">
        <is>
          <t>eCVT</t>
        </is>
      </c>
      <c r="N333" s="16" t="inlineStr">
        <is>
          <t>FWD</t>
        </is>
      </c>
      <c r="O333" s="16" t="inlineStr">
        <is>
          <t>47 (48/47)</t>
        </is>
      </c>
      <c r="P333" s="16" t="inlineStr">
        <is>
          <t>N/A</t>
        </is>
      </c>
      <c r="Q333" s="22" t="n">
        <v>1</v>
      </c>
      <c r="R333" s="16" t="n">
        <v>5</v>
      </c>
      <c r="S333" s="22" t="n">
        <v>15.1</v>
      </c>
      <c r="T333" s="16" t="inlineStr">
        <is>
          <t>N/A</t>
        </is>
      </c>
      <c r="U333" s="23" t="inlineStr">
        <is>
          <t>9.5/10</t>
        </is>
      </c>
      <c r="V333" s="24" t="inlineStr">
        <is>
          <t xml:space="preserve"> • Remarkable 45-50 mpg combined efficiency
 • Standard hybrid across entire range
 • Comfortable, serene ride</t>
        </is>
      </c>
      <c r="W333" s="25" t="inlineStr">
        <is>
          <t xml:space="preserve"> • eCVT drones under hard acceleration
 • Sedan styling plays it safe
 • Brake pedal feel could be firmer</t>
        </is>
      </c>
      <c r="X333" s="26" t="inlineStr">
        <is>
          <t>Now exclusively hybrid, the Camry proves that practical, bulletproof family sedans are better than ever.</t>
        </is>
      </c>
      <c r="Y333" s="27" t="inlineStr">
        <is>
          <t>https://hips.hearstapps.com/hmg-prod/images/2026-toyota-camry.jpg</t>
        </is>
      </c>
      <c r="Z333" s="27" t="inlineStr">
        <is>
          <t>https://www.caranddriver.com/toyota/camry</t>
        </is>
      </c>
      <c r="AA333" s="17" t="inlineStr">
        <is>
          <t>Car and Driver 10Best Winner</t>
        </is>
      </c>
    </row>
    <row r="334" ht="48" customHeight="1">
      <c r="A334" s="4" t="n">
        <v>2026</v>
      </c>
      <c r="B334" s="5" t="inlineStr">
        <is>
          <t>Toyota</t>
        </is>
      </c>
      <c r="C334" s="5" t="inlineStr">
        <is>
          <t>Crown</t>
        </is>
      </c>
      <c r="D334" s="5" t="inlineStr">
        <is>
          <t>Platinum Hybrid MAX</t>
        </is>
      </c>
      <c r="E334" s="5" t="inlineStr">
        <is>
          <t>Elevated Luxury Sedan</t>
        </is>
      </c>
      <c r="F334" s="5" t="inlineStr">
        <is>
          <t>Gas-Electric Hybrid</t>
        </is>
      </c>
      <c r="G334" s="6" t="n">
        <v>56000</v>
      </c>
      <c r="H334" s="7" t="n">
        <v>340</v>
      </c>
      <c r="I334" s="7" t="n">
        <v>400</v>
      </c>
      <c r="J334" s="5" t="inlineStr">
        <is>
          <t>2.4L Turbo Hybrid MAX</t>
        </is>
      </c>
      <c r="K334" s="8" t="n">
        <v>2.4</v>
      </c>
      <c r="L334" s="4" t="n">
        <v>4</v>
      </c>
      <c r="M334" s="5" t="inlineStr">
        <is>
          <t>6-Speed Direct Shift</t>
        </is>
      </c>
      <c r="N334" s="4" t="inlineStr">
        <is>
          <t>Full-Time AWD</t>
        </is>
      </c>
      <c r="O334" s="4" t="inlineStr">
        <is>
          <t>30 (29/32)</t>
        </is>
      </c>
      <c r="P334" s="4" t="inlineStr">
        <is>
          <t>N/A</t>
        </is>
      </c>
      <c r="Q334" s="10" t="n">
        <v>1.87</v>
      </c>
      <c r="R334" s="4" t="n">
        <v>5</v>
      </c>
      <c r="S334" s="10" t="n">
        <v>15.2</v>
      </c>
      <c r="T334" s="4" t="inlineStr">
        <is>
          <t>N/A</t>
        </is>
      </c>
      <c r="U334" s="11" t="inlineStr">
        <is>
          <t>8.5/10</t>
        </is>
      </c>
      <c r="V334" s="12" t="inlineStr">
        <is>
          <t xml:space="preserve"> • Superb real-world fuel economy
 • Smooth electric-gas power handover
 • No range anxiety on long trips</t>
        </is>
      </c>
      <c r="W334" s="13" t="inlineStr">
        <is>
          <t xml:space="preserve"> • Added curb weight from battery packs
 • Slightly compromised cargo space
 • eCVT engine flare during passing</t>
        </is>
      </c>
      <c r="X334" s="14" t="inlineStr">
        <is>
          <t>A finely engineered gas-electric hybrid elevated luxury sedan striking the optimal balance between high efficiency and long-distance practicality.</t>
        </is>
      </c>
      <c r="Y334" s="15" t="inlineStr">
        <is>
          <t>https://hips.hearstapps.com/hmg-prod/images/2026-toyota-crown.jpg</t>
        </is>
      </c>
      <c r="Z334" s="15" t="inlineStr">
        <is>
          <t>https://www.caranddriver.com/toyota/crown</t>
        </is>
      </c>
      <c r="AA334" s="5" t="inlineStr">
        <is>
          <t>Car and Driver Buyer's Guide</t>
        </is>
      </c>
    </row>
    <row r="335" ht="48" customHeight="1">
      <c r="A335" s="16" t="n">
        <v>2026</v>
      </c>
      <c r="B335" s="17" t="inlineStr">
        <is>
          <t>Toyota</t>
        </is>
      </c>
      <c r="C335" s="17" t="inlineStr">
        <is>
          <t>Crown Signia</t>
        </is>
      </c>
      <c r="D335" s="17" t="inlineStr">
        <is>
          <t>Limited AWD</t>
        </is>
      </c>
      <c r="E335" s="17" t="inlineStr">
        <is>
          <t>Mid-Size Luxury Crossover</t>
        </is>
      </c>
      <c r="F335" s="17" t="inlineStr">
        <is>
          <t>Gas-Electric Hybrid</t>
        </is>
      </c>
      <c r="G335" s="18" t="n">
        <v>48000</v>
      </c>
      <c r="H335" s="19" t="n">
        <v>240</v>
      </c>
      <c r="I335" s="19" t="n">
        <v>178</v>
      </c>
      <c r="J335" s="17" t="inlineStr">
        <is>
          <t>2.5L I4 + Motors</t>
        </is>
      </c>
      <c r="K335" s="20" t="n">
        <v>2.5</v>
      </c>
      <c r="L335" s="16" t="n">
        <v>4</v>
      </c>
      <c r="M335" s="17" t="inlineStr">
        <is>
          <t>eCVT</t>
        </is>
      </c>
      <c r="N335" s="16" t="inlineStr">
        <is>
          <t>Electronic AWD</t>
        </is>
      </c>
      <c r="O335" s="16" t="inlineStr">
        <is>
          <t>38 (39/37)</t>
        </is>
      </c>
      <c r="P335" s="16" t="inlineStr">
        <is>
          <t>N/A</t>
        </is>
      </c>
      <c r="Q335" s="22" t="n">
        <v>1.4</v>
      </c>
      <c r="R335" s="16" t="n">
        <v>5</v>
      </c>
      <c r="S335" s="22" t="n">
        <v>25.8</v>
      </c>
      <c r="T335" s="19" t="n">
        <v>2700</v>
      </c>
      <c r="U335" s="28" t="inlineStr">
        <is>
          <t>8.5/10</t>
        </is>
      </c>
      <c r="V335" s="24" t="inlineStr">
        <is>
          <t xml:space="preserve"> • Superb real-world fuel economy
 • Smooth electric-gas power handover
 • No range anxiety on long trips</t>
        </is>
      </c>
      <c r="W335" s="25" t="inlineStr">
        <is>
          <t xml:space="preserve"> • Added curb weight from battery packs
 • Slightly compromised cargo space
 • eCVT engine flare during passing</t>
        </is>
      </c>
      <c r="X335" s="26" t="inlineStr">
        <is>
          <t>A finely engineered gas-electric hybrid mid-size luxury crossover striking the optimal balance between high efficiency and long-distance practicality.</t>
        </is>
      </c>
      <c r="Y335" s="27" t="inlineStr">
        <is>
          <t>https://hips.hearstapps.com/hmg-prod/images/2026-toyota-crown-signia.jpg</t>
        </is>
      </c>
      <c r="Z335" s="27" t="inlineStr">
        <is>
          <t>https://www.caranddriver.com/toyota/crown-signia</t>
        </is>
      </c>
      <c r="AA335" s="17" t="inlineStr">
        <is>
          <t>Car and Driver First Drive</t>
        </is>
      </c>
    </row>
    <row r="336" ht="48" customHeight="1">
      <c r="A336" s="4" t="n">
        <v>2026</v>
      </c>
      <c r="B336" s="5" t="inlineStr">
        <is>
          <t>Toyota</t>
        </is>
      </c>
      <c r="C336" s="5" t="inlineStr">
        <is>
          <t>Corolla Cross</t>
        </is>
      </c>
      <c r="D336" s="5" t="inlineStr">
        <is>
          <t>XSE Hybrid AWD</t>
        </is>
      </c>
      <c r="E336" s="5" t="inlineStr">
        <is>
          <t>Subcompact Crossover</t>
        </is>
      </c>
      <c r="F336" s="5" t="inlineStr">
        <is>
          <t>Gas-Electric Hybrid</t>
        </is>
      </c>
      <c r="G336" s="6" t="n">
        <v>32500</v>
      </c>
      <c r="H336" s="7" t="n">
        <v>196</v>
      </c>
      <c r="I336" s="7" t="n">
        <v>139</v>
      </c>
      <c r="J336" s="5" t="inlineStr">
        <is>
          <t>2.0L I4 + Motors</t>
        </is>
      </c>
      <c r="K336" s="8" t="n">
        <v>2</v>
      </c>
      <c r="L336" s="4" t="n">
        <v>4</v>
      </c>
      <c r="M336" s="5" t="inlineStr">
        <is>
          <t>eCVT</t>
        </is>
      </c>
      <c r="N336" s="4" t="inlineStr">
        <is>
          <t>Electronic AWD</t>
        </is>
      </c>
      <c r="O336" s="4" t="inlineStr">
        <is>
          <t>42 (45/38)</t>
        </is>
      </c>
      <c r="P336" s="4" t="inlineStr">
        <is>
          <t>N/A</t>
        </is>
      </c>
      <c r="Q336" s="10" t="n">
        <v>1</v>
      </c>
      <c r="R336" s="4" t="n">
        <v>5</v>
      </c>
      <c r="S336" s="10" t="n">
        <v>21.5</v>
      </c>
      <c r="T336" s="7" t="n">
        <v>1500</v>
      </c>
      <c r="U336" s="11" t="inlineStr">
        <is>
          <t>8.0/10</t>
        </is>
      </c>
      <c r="V336" s="12" t="inlineStr">
        <is>
          <t xml:space="preserve"> • Superb real-world fuel economy
 • Smooth electric-gas power handover
 • No range anxiety on long trips</t>
        </is>
      </c>
      <c r="W336" s="13" t="inlineStr">
        <is>
          <t xml:space="preserve"> • Added curb weight from battery packs
 • Slightly compromised cargo space
 • eCVT engine flare during passing</t>
        </is>
      </c>
      <c r="X336" s="14" t="inlineStr">
        <is>
          <t>A finely engineered gas-electric hybrid subcompact crossover striking the optimal balance between high efficiency and long-distance practicality.</t>
        </is>
      </c>
      <c r="Y336" s="15" t="inlineStr">
        <is>
          <t>https://hips.hearstapps.com/hmg-prod/images/2026-toyota-corolla-cross.jpg</t>
        </is>
      </c>
      <c r="Z336" s="15" t="inlineStr">
        <is>
          <t>https://www.caranddriver.com/toyota/corolla-cross</t>
        </is>
      </c>
      <c r="AA336" s="5" t="inlineStr">
        <is>
          <t>Car and Driver Buyer's Guide</t>
        </is>
      </c>
    </row>
    <row r="337" ht="48" customHeight="1">
      <c r="A337" s="16" t="n">
        <v>2026</v>
      </c>
      <c r="B337" s="17" t="inlineStr">
        <is>
          <t>Toyota</t>
        </is>
      </c>
      <c r="C337" s="17" t="inlineStr">
        <is>
          <t>RAV4</t>
        </is>
      </c>
      <c r="D337" s="17" t="inlineStr">
        <is>
          <t>Hybrid Woodland Edition</t>
        </is>
      </c>
      <c r="E337" s="17" t="inlineStr">
        <is>
          <t>Compact Hybrid Crossover</t>
        </is>
      </c>
      <c r="F337" s="17" t="inlineStr">
        <is>
          <t>Gas-Electric Hybrid</t>
        </is>
      </c>
      <c r="G337" s="18" t="n">
        <v>36500</v>
      </c>
      <c r="H337" s="19" t="n">
        <v>219</v>
      </c>
      <c r="I337" s="19" t="n">
        <v>163</v>
      </c>
      <c r="J337" s="17" t="inlineStr">
        <is>
          <t>2.5L DOHC 16V I4 Hybrid</t>
        </is>
      </c>
      <c r="K337" s="20" t="n">
        <v>2.5</v>
      </c>
      <c r="L337" s="16" t="n">
        <v>4</v>
      </c>
      <c r="M337" s="17" t="inlineStr">
        <is>
          <t>eCVT</t>
        </is>
      </c>
      <c r="N337" s="16" t="inlineStr">
        <is>
          <t>On-Demand AWD</t>
        </is>
      </c>
      <c r="O337" s="16" t="inlineStr">
        <is>
          <t>39 (41/38)</t>
        </is>
      </c>
      <c r="P337" s="16" t="inlineStr">
        <is>
          <t>N/A</t>
        </is>
      </c>
      <c r="Q337" s="22" t="n">
        <v>1.6</v>
      </c>
      <c r="R337" s="16" t="n">
        <v>5</v>
      </c>
      <c r="S337" s="22" t="n">
        <v>37.5</v>
      </c>
      <c r="T337" s="19" t="n">
        <v>1750</v>
      </c>
      <c r="U337" s="28" t="inlineStr">
        <is>
          <t>8.5/10</t>
        </is>
      </c>
      <c r="V337" s="24" t="inlineStr">
        <is>
          <t xml:space="preserve"> • Superb real-world fuel economy
 • Smooth electric-gas power handover
 • No range anxiety on long trips</t>
        </is>
      </c>
      <c r="W337" s="25" t="inlineStr">
        <is>
          <t xml:space="preserve"> • Added curb weight from battery packs
 • Slightly compromised cargo space
 • eCVT engine flare during passing</t>
        </is>
      </c>
      <c r="X337" s="26" t="inlineStr">
        <is>
          <t>A finely engineered gas-electric hybrid compact hybrid crossover striking the optimal balance between high efficiency and long-distance practicality.</t>
        </is>
      </c>
      <c r="Y337" s="27" t="inlineStr">
        <is>
          <t>https://hips.hearstapps.com/hmg-prod/images/2026-toyota-rav4.jpg</t>
        </is>
      </c>
      <c r="Z337" s="27" t="inlineStr">
        <is>
          <t>https://www.caranddriver.com/toyota/rav4</t>
        </is>
      </c>
      <c r="AA337" s="17" t="inlineStr">
        <is>
          <t>Car and Driver Buyer's Guide</t>
        </is>
      </c>
    </row>
    <row r="338" ht="48" customHeight="1">
      <c r="A338" s="4" t="n">
        <v>2026</v>
      </c>
      <c r="B338" s="5" t="inlineStr">
        <is>
          <t>Toyota</t>
        </is>
      </c>
      <c r="C338" s="5" t="inlineStr">
        <is>
          <t>RAV4 Prime</t>
        </is>
      </c>
      <c r="D338" s="5" t="inlineStr">
        <is>
          <t>XSE PHEV</t>
        </is>
      </c>
      <c r="E338" s="5" t="inlineStr">
        <is>
          <t>Plug-In Hybrid Crossover</t>
        </is>
      </c>
      <c r="F338" s="5" t="inlineStr">
        <is>
          <t>PHEV</t>
        </is>
      </c>
      <c r="G338" s="6" t="n">
        <v>48000</v>
      </c>
      <c r="H338" s="7" t="n">
        <v>302</v>
      </c>
      <c r="I338" s="7" t="n">
        <v>288</v>
      </c>
      <c r="J338" s="5" t="inlineStr">
        <is>
          <t>2.5L I4 + Dual Motors</t>
        </is>
      </c>
      <c r="K338" s="8" t="n">
        <v>2.5</v>
      </c>
      <c r="L338" s="4" t="n">
        <v>4</v>
      </c>
      <c r="M338" s="5" t="inlineStr">
        <is>
          <t>eCVT</t>
        </is>
      </c>
      <c r="N338" s="4" t="inlineStr">
        <is>
          <t>AWD</t>
        </is>
      </c>
      <c r="O338" s="4" t="inlineStr">
        <is>
          <t>94 MPGe / 38 Comb</t>
        </is>
      </c>
      <c r="P338" s="4" t="inlineStr">
        <is>
          <t>42</t>
        </is>
      </c>
      <c r="Q338" s="10" t="n">
        <v>18.1</v>
      </c>
      <c r="R338" s="4" t="n">
        <v>5</v>
      </c>
      <c r="S338" s="10" t="n">
        <v>33.5</v>
      </c>
      <c r="T338" s="7" t="n">
        <v>2500</v>
      </c>
      <c r="U338" s="11" t="inlineStr">
        <is>
          <t>9.0/10</t>
        </is>
      </c>
      <c r="V338" s="12" t="inlineStr">
        <is>
          <t xml:space="preserve"> • Superb real-world fuel economy
 • Smooth electric-gas power handover
 • No range anxiety on long trips</t>
        </is>
      </c>
      <c r="W338" s="13" t="inlineStr">
        <is>
          <t xml:space="preserve"> • Added curb weight from battery packs
 • Slightly compromised cargo space
 • eCVT engine flare during passing</t>
        </is>
      </c>
      <c r="X338" s="14" t="inlineStr">
        <is>
          <t>A finely engineered phev plug-in hybrid crossover striking the optimal balance between high efficiency and long-distance practicality.</t>
        </is>
      </c>
      <c r="Y338" s="15" t="inlineStr">
        <is>
          <t>https://hips.hearstapps.com/hmg-prod/images/2026-toyota-rav4-prime.jpg</t>
        </is>
      </c>
      <c r="Z338" s="15" t="inlineStr">
        <is>
          <t>https://www.caranddriver.com/toyota/rav4-prime</t>
        </is>
      </c>
      <c r="AA338" s="5" t="inlineStr">
        <is>
          <t>Car and Driver Editors' Choice</t>
        </is>
      </c>
    </row>
    <row r="339" ht="48" customHeight="1">
      <c r="A339" s="16" t="n">
        <v>2026</v>
      </c>
      <c r="B339" s="17" t="inlineStr">
        <is>
          <t>Toyota</t>
        </is>
      </c>
      <c r="C339" s="17" t="inlineStr">
        <is>
          <t>Highlander</t>
        </is>
      </c>
      <c r="D339" s="17" t="inlineStr">
        <is>
          <t>Limited Hybrid AWD</t>
        </is>
      </c>
      <c r="E339" s="17" t="inlineStr">
        <is>
          <t>3-Row Mid-Size SUV</t>
        </is>
      </c>
      <c r="F339" s="17" t="inlineStr">
        <is>
          <t>Gas-Electric Hybrid</t>
        </is>
      </c>
      <c r="G339" s="18" t="n">
        <v>49500</v>
      </c>
      <c r="H339" s="19" t="n">
        <v>243</v>
      </c>
      <c r="I339" s="19" t="n">
        <v>175</v>
      </c>
      <c r="J339" s="17" t="inlineStr">
        <is>
          <t>2.5L I4 + Motors</t>
        </is>
      </c>
      <c r="K339" s="20" t="n">
        <v>2.5</v>
      </c>
      <c r="L339" s="16" t="n">
        <v>4</v>
      </c>
      <c r="M339" s="17" t="inlineStr">
        <is>
          <t>eCVT</t>
        </is>
      </c>
      <c r="N339" s="16" t="inlineStr">
        <is>
          <t>Electronic AWD</t>
        </is>
      </c>
      <c r="O339" s="16" t="inlineStr">
        <is>
          <t>35 (35/35)</t>
        </is>
      </c>
      <c r="P339" s="16" t="inlineStr">
        <is>
          <t>N/A</t>
        </is>
      </c>
      <c r="Q339" s="22" t="n">
        <v>1.9</v>
      </c>
      <c r="R339" s="16" t="n">
        <v>8</v>
      </c>
      <c r="S339" s="22" t="n">
        <v>16</v>
      </c>
      <c r="T339" s="19" t="n">
        <v>3500</v>
      </c>
      <c r="U339" s="28" t="inlineStr">
        <is>
          <t>8.5/10</t>
        </is>
      </c>
      <c r="V339" s="24" t="inlineStr">
        <is>
          <t xml:space="preserve"> • Superb real-world fuel economy
 • Smooth electric-gas power handover
 • No range anxiety on long trips</t>
        </is>
      </c>
      <c r="W339" s="25" t="inlineStr">
        <is>
          <t xml:space="preserve"> • Added curb weight from battery packs
 • Slightly compromised cargo space
 • eCVT engine flare during passing</t>
        </is>
      </c>
      <c r="X339" s="26" t="inlineStr">
        <is>
          <t>A finely engineered gas-electric hybrid 3-row mid-size suv striking the optimal balance between high efficiency and long-distance practicality.</t>
        </is>
      </c>
      <c r="Y339" s="27" t="inlineStr">
        <is>
          <t>https://hips.hearstapps.com/hmg-prod/images/2026-toyota-highlander.jpg</t>
        </is>
      </c>
      <c r="Z339" s="27" t="inlineStr">
        <is>
          <t>https://www.caranddriver.com/toyota/highlander</t>
        </is>
      </c>
      <c r="AA339" s="17" t="inlineStr">
        <is>
          <t>Car and Driver Buyer's Guide</t>
        </is>
      </c>
    </row>
    <row r="340" ht="48" customHeight="1">
      <c r="A340" s="4" t="n">
        <v>2026</v>
      </c>
      <c r="B340" s="5" t="inlineStr">
        <is>
          <t>Toyota</t>
        </is>
      </c>
      <c r="C340" s="5" t="inlineStr">
        <is>
          <t>Grand Highlander</t>
        </is>
      </c>
      <c r="D340" s="5" t="inlineStr">
        <is>
          <t>Hybrid MAX Platinum</t>
        </is>
      </c>
      <c r="E340" s="5" t="inlineStr">
        <is>
          <t>3-Row Mid-Size Family SUV</t>
        </is>
      </c>
      <c r="F340" s="5" t="inlineStr">
        <is>
          <t>Gas-Electric Hybrid</t>
        </is>
      </c>
      <c r="G340" s="6" t="n">
        <v>59525</v>
      </c>
      <c r="H340" s="7" t="n">
        <v>362</v>
      </c>
      <c r="I340" s="7" t="n">
        <v>400</v>
      </c>
      <c r="J340" s="5" t="inlineStr">
        <is>
          <t>2.4L Turbo Hybrid MAX</t>
        </is>
      </c>
      <c r="K340" s="8" t="n">
        <v>2.4</v>
      </c>
      <c r="L340" s="4" t="n">
        <v>4</v>
      </c>
      <c r="M340" s="5" t="inlineStr">
        <is>
          <t>6-Speed Direct Shift</t>
        </is>
      </c>
      <c r="N340" s="4" t="inlineStr">
        <is>
          <t>Full-Time AWD</t>
        </is>
      </c>
      <c r="O340" s="4" t="inlineStr">
        <is>
          <t>27 (26/27)</t>
        </is>
      </c>
      <c r="P340" s="4" t="inlineStr">
        <is>
          <t>N/A</t>
        </is>
      </c>
      <c r="Q340" s="10" t="n">
        <v>1.87</v>
      </c>
      <c r="R340" s="4" t="n">
        <v>7</v>
      </c>
      <c r="S340" s="10" t="n">
        <v>20.6</v>
      </c>
      <c r="T340" s="7" t="n">
        <v>5000</v>
      </c>
      <c r="U340" s="11" t="inlineStr">
        <is>
          <t>9.0/10</t>
        </is>
      </c>
      <c r="V340" s="12" t="inlineStr">
        <is>
          <t xml:space="preserve"> • Superb real-world fuel economy
 • Smooth electric-gas power handover
 • No range anxiety on long trips</t>
        </is>
      </c>
      <c r="W340" s="13" t="inlineStr">
        <is>
          <t xml:space="preserve"> • Added curb weight from battery packs
 • Slightly compromised cargo space
 • eCVT engine flare during passing</t>
        </is>
      </c>
      <c r="X340" s="14" t="inlineStr">
        <is>
          <t>A finely engineered gas-electric hybrid 3-row mid-size family suv striking the optimal balance between high efficiency and long-distance practicality.</t>
        </is>
      </c>
      <c r="Y340" s="15" t="inlineStr">
        <is>
          <t>https://hips.hearstapps.com/hmg-prod/images/2026-toyota-grand-highlander.jpg</t>
        </is>
      </c>
      <c r="Z340" s="15" t="inlineStr">
        <is>
          <t>https://www.caranddriver.com/toyota/grand-highlander</t>
        </is>
      </c>
      <c r="AA340" s="5" t="inlineStr">
        <is>
          <t>Car and Driver 10Best Winner</t>
        </is>
      </c>
    </row>
    <row r="341" ht="48" customHeight="1">
      <c r="A341" s="16" t="n">
        <v>2026</v>
      </c>
      <c r="B341" s="17" t="inlineStr">
        <is>
          <t>Toyota</t>
        </is>
      </c>
      <c r="C341" s="17" t="inlineStr">
        <is>
          <t>4Runner</t>
        </is>
      </c>
      <c r="D341" s="17" t="inlineStr">
        <is>
          <t>Trailhunter (Redesigned)</t>
        </is>
      </c>
      <c r="E341" s="17" t="inlineStr">
        <is>
          <t>Mid-Size Rugged 4x4</t>
        </is>
      </c>
      <c r="F341" s="17" t="inlineStr">
        <is>
          <t>Gas-Electric Hybrid</t>
        </is>
      </c>
      <c r="G341" s="18" t="n">
        <v>62000</v>
      </c>
      <c r="H341" s="19" t="n">
        <v>326</v>
      </c>
      <c r="I341" s="19" t="n">
        <v>465</v>
      </c>
      <c r="J341" s="17" t="inlineStr">
        <is>
          <t>2.4L Turbo i-FORCE MAX</t>
        </is>
      </c>
      <c r="K341" s="20" t="n">
        <v>2.4</v>
      </c>
      <c r="L341" s="16" t="n">
        <v>4</v>
      </c>
      <c r="M341" s="17" t="inlineStr">
        <is>
          <t>8-Speed Auto</t>
        </is>
      </c>
      <c r="N341" s="16" t="inlineStr">
        <is>
          <t>4WD</t>
        </is>
      </c>
      <c r="O341" s="16" t="inlineStr">
        <is>
          <t>22 (20/24 Est)</t>
        </is>
      </c>
      <c r="P341" s="16" t="inlineStr">
        <is>
          <t>N/A</t>
        </is>
      </c>
      <c r="Q341" s="22" t="n">
        <v>1.87</v>
      </c>
      <c r="R341" s="16" t="n">
        <v>5</v>
      </c>
      <c r="S341" s="22" t="n">
        <v>38</v>
      </c>
      <c r="T341" s="19" t="n">
        <v>6000</v>
      </c>
      <c r="U341" s="23" t="inlineStr">
        <is>
          <t>9.5/10</t>
        </is>
      </c>
      <c r="V341" s="24" t="inlineStr">
        <is>
          <t xml:space="preserve"> • Superb real-world fuel economy
 • Smooth electric-gas power handover
 • No range anxiety on long trips</t>
        </is>
      </c>
      <c r="W341" s="25" t="inlineStr">
        <is>
          <t xml:space="preserve"> • Added curb weight from battery packs
 • Slightly compromised cargo space
 • eCVT engine flare during passing</t>
        </is>
      </c>
      <c r="X341" s="26" t="inlineStr">
        <is>
          <t>A finely engineered gas-electric hybrid mid-size rugged 4x4 striking the optimal balance between high efficiency and long-distance practicality.</t>
        </is>
      </c>
      <c r="Y341" s="27" t="inlineStr">
        <is>
          <t>https://hips.hearstapps.com/hmg-prod/images/2026-toyota-4runner.jpg</t>
        </is>
      </c>
      <c r="Z341" s="27" t="inlineStr">
        <is>
          <t>https://www.caranddriver.com/toyota/4runner</t>
        </is>
      </c>
      <c r="AA341" s="17" t="inlineStr">
        <is>
          <t>Car and Driver First Look</t>
        </is>
      </c>
    </row>
    <row r="342" ht="48" customHeight="1">
      <c r="A342" s="4" t="n">
        <v>2026</v>
      </c>
      <c r="B342" s="5" t="inlineStr">
        <is>
          <t>Toyota</t>
        </is>
      </c>
      <c r="C342" s="5" t="inlineStr">
        <is>
          <t>Land Cruiser</t>
        </is>
      </c>
      <c r="D342" s="5" t="inlineStr">
        <is>
          <t>1958 Edition</t>
        </is>
      </c>
      <c r="E342" s="5" t="inlineStr">
        <is>
          <t>Mid-Size Rugged 4x4 SUV</t>
        </is>
      </c>
      <c r="F342" s="5" t="inlineStr">
        <is>
          <t>Gas-Electric Hybrid</t>
        </is>
      </c>
      <c r="G342" s="6" t="n">
        <v>57345</v>
      </c>
      <c r="H342" s="7" t="n">
        <v>326</v>
      </c>
      <c r="I342" s="7" t="n">
        <v>465</v>
      </c>
      <c r="J342" s="5" t="inlineStr">
        <is>
          <t>2.4L Turbo i-FORCE MAX Hybrid</t>
        </is>
      </c>
      <c r="K342" s="8" t="n">
        <v>2.4</v>
      </c>
      <c r="L342" s="4" t="n">
        <v>4</v>
      </c>
      <c r="M342" s="5" t="inlineStr">
        <is>
          <t>8-Speed Auto</t>
        </is>
      </c>
      <c r="N342" s="4" t="inlineStr">
        <is>
          <t>Full-Time 4WD</t>
        </is>
      </c>
      <c r="O342" s="4" t="inlineStr">
        <is>
          <t>23 (22/25)</t>
        </is>
      </c>
      <c r="P342" s="4" t="inlineStr">
        <is>
          <t>N/A</t>
        </is>
      </c>
      <c r="Q342" s="10" t="n">
        <v>1.87</v>
      </c>
      <c r="R342" s="4" t="n">
        <v>5</v>
      </c>
      <c r="S342" s="10" t="n">
        <v>37.5</v>
      </c>
      <c r="T342" s="7" t="n">
        <v>6000</v>
      </c>
      <c r="U342" s="11" t="inlineStr">
        <is>
          <t>9.0/10</t>
        </is>
      </c>
      <c r="V342" s="12" t="inlineStr">
        <is>
          <t xml:space="preserve"> • Superb real-world fuel economy
 • Smooth electric-gas power handover
 • No range anxiety on long trips</t>
        </is>
      </c>
      <c r="W342" s="13" t="inlineStr">
        <is>
          <t xml:space="preserve"> • Added curb weight from battery packs
 • Slightly compromised cargo space
 • eCVT engine flare during passing</t>
        </is>
      </c>
      <c r="X342" s="14" t="inlineStr">
        <is>
          <t>A finely engineered gas-electric hybrid mid-size rugged 4x4 suv striking the optimal balance between high efficiency and long-distance practicality.</t>
        </is>
      </c>
      <c r="Y342" s="15" t="inlineStr">
        <is>
          <t>https://hips.hearstapps.com/hmg-prod/images/2026-toyota-land-cruiser.jpg</t>
        </is>
      </c>
      <c r="Z342" s="15" t="inlineStr">
        <is>
          <t>https://www.caranddriver.com/toyota/land-cruiser</t>
        </is>
      </c>
      <c r="AA342" s="5" t="inlineStr">
        <is>
          <t>Car and Driver Buyer's Guide</t>
        </is>
      </c>
    </row>
    <row r="343" ht="48" customHeight="1">
      <c r="A343" s="16" t="n">
        <v>2026</v>
      </c>
      <c r="B343" s="17" t="inlineStr">
        <is>
          <t>Toyota</t>
        </is>
      </c>
      <c r="C343" s="17" t="inlineStr">
        <is>
          <t>Sequoia</t>
        </is>
      </c>
      <c r="D343" s="17" t="inlineStr">
        <is>
          <t>TRD Pro 4WD</t>
        </is>
      </c>
      <c r="E343" s="17" t="inlineStr">
        <is>
          <t>Full-Size 3-Row SUV</t>
        </is>
      </c>
      <c r="F343" s="17" t="inlineStr">
        <is>
          <t>Gas-Electric Hybrid</t>
        </is>
      </c>
      <c r="G343" s="18" t="n">
        <v>80000</v>
      </c>
      <c r="H343" s="19" t="n">
        <v>437</v>
      </c>
      <c r="I343" s="19" t="n">
        <v>583</v>
      </c>
      <c r="J343" s="17" t="inlineStr">
        <is>
          <t>3.4L Twin-Turbo V6 i-FORCE MAX</t>
        </is>
      </c>
      <c r="K343" s="20" t="n">
        <v>3.4</v>
      </c>
      <c r="L343" s="16" t="n">
        <v>6</v>
      </c>
      <c r="M343" s="17" t="inlineStr">
        <is>
          <t>10-Speed Auto</t>
        </is>
      </c>
      <c r="N343" s="16" t="inlineStr">
        <is>
          <t>4WD</t>
        </is>
      </c>
      <c r="O343" s="16" t="inlineStr">
        <is>
          <t>20 (19/22)</t>
        </is>
      </c>
      <c r="P343" s="16" t="inlineStr">
        <is>
          <t>N/A</t>
        </is>
      </c>
      <c r="Q343" s="22" t="n">
        <v>1.87</v>
      </c>
      <c r="R343" s="16" t="n">
        <v>7</v>
      </c>
      <c r="S343" s="22" t="n">
        <v>22.3</v>
      </c>
      <c r="T343" s="19" t="n">
        <v>9000</v>
      </c>
      <c r="U343" s="28" t="inlineStr">
        <is>
          <t>8.0/10</t>
        </is>
      </c>
      <c r="V343" s="24" t="inlineStr">
        <is>
          <t xml:space="preserve"> • Superb real-world fuel economy
 • Smooth electric-gas power handover
 • No range anxiety on long trips</t>
        </is>
      </c>
      <c r="W343" s="25" t="inlineStr">
        <is>
          <t xml:space="preserve"> • Added curb weight from battery packs
 • Slightly compromised cargo space
 • eCVT engine flare during passing</t>
        </is>
      </c>
      <c r="X343" s="26" t="inlineStr">
        <is>
          <t>A finely engineered gas-electric hybrid full-size 3-row suv striking the optimal balance between high efficiency and long-distance practicality.</t>
        </is>
      </c>
      <c r="Y343" s="27" t="inlineStr">
        <is>
          <t>https://hips.hearstapps.com/hmg-prod/images/2026-toyota-sequoia.jpg</t>
        </is>
      </c>
      <c r="Z343" s="27" t="inlineStr">
        <is>
          <t>https://www.caranddriver.com/toyota/sequoia</t>
        </is>
      </c>
      <c r="AA343" s="17" t="inlineStr">
        <is>
          <t>Car and Driver Buyer's Guide</t>
        </is>
      </c>
    </row>
    <row r="344" ht="48" customHeight="1">
      <c r="A344" s="4" t="n">
        <v>2026</v>
      </c>
      <c r="B344" s="5" t="inlineStr">
        <is>
          <t>Toyota</t>
        </is>
      </c>
      <c r="C344" s="5" t="inlineStr">
        <is>
          <t>Tacoma</t>
        </is>
      </c>
      <c r="D344" s="5" t="inlineStr">
        <is>
          <t>Trailhunter Double Cab</t>
        </is>
      </c>
      <c r="E344" s="5" t="inlineStr">
        <is>
          <t>Mid-Size Off-Road Pickup</t>
        </is>
      </c>
      <c r="F344" s="5" t="inlineStr">
        <is>
          <t>Gas-Electric Hybrid</t>
        </is>
      </c>
      <c r="G344" s="6" t="n">
        <v>64395</v>
      </c>
      <c r="H344" s="7" t="n">
        <v>326</v>
      </c>
      <c r="I344" s="7" t="n">
        <v>465</v>
      </c>
      <c r="J344" s="5" t="inlineStr">
        <is>
          <t>2.4L Turbo i-FORCE MAX Hybrid</t>
        </is>
      </c>
      <c r="K344" s="8" t="n">
        <v>2.4</v>
      </c>
      <c r="L344" s="4" t="n">
        <v>4</v>
      </c>
      <c r="M344" s="5" t="inlineStr">
        <is>
          <t>8-Speed Auto</t>
        </is>
      </c>
      <c r="N344" s="4" t="inlineStr">
        <is>
          <t>4WD</t>
        </is>
      </c>
      <c r="O344" s="4" t="inlineStr">
        <is>
          <t>23 (22/24)</t>
        </is>
      </c>
      <c r="P344" s="4" t="inlineStr">
        <is>
          <t>N/A</t>
        </is>
      </c>
      <c r="Q344" s="10" t="n">
        <v>1.87</v>
      </c>
      <c r="R344" s="4" t="n">
        <v>5</v>
      </c>
      <c r="S344" s="10" t="n">
        <v>38</v>
      </c>
      <c r="T344" s="7" t="n">
        <v>6000</v>
      </c>
      <c r="U344" s="11" t="inlineStr">
        <is>
          <t>9.0/10</t>
        </is>
      </c>
      <c r="V344" s="12" t="inlineStr">
        <is>
          <t xml:space="preserve"> • Superb real-world fuel economy
 • Smooth electric-gas power handover
 • No range anxiety on long trips</t>
        </is>
      </c>
      <c r="W344" s="13" t="inlineStr">
        <is>
          <t xml:space="preserve"> • Added curb weight from battery packs
 • Slightly compromised cargo space
 • eCVT engine flare during passing</t>
        </is>
      </c>
      <c r="X344" s="14" t="inlineStr">
        <is>
          <t>A finely engineered gas-electric hybrid mid-size off-road pickup striking the optimal balance between high efficiency and long-distance practicality.</t>
        </is>
      </c>
      <c r="Y344" s="15" t="inlineStr">
        <is>
          <t>https://hips.hearstapps.com/hmg-prod/images/2026-toyota-tacoma.jpg</t>
        </is>
      </c>
      <c r="Z344" s="15" t="inlineStr">
        <is>
          <t>https://www.caranddriver.com/toyota/tacoma</t>
        </is>
      </c>
      <c r="AA344" s="5" t="inlineStr">
        <is>
          <t>Car and Driver Buyer's Guide</t>
        </is>
      </c>
    </row>
    <row r="345" ht="48" customHeight="1">
      <c r="A345" s="16" t="n">
        <v>2026</v>
      </c>
      <c r="B345" s="17" t="inlineStr">
        <is>
          <t>Toyota</t>
        </is>
      </c>
      <c r="C345" s="17" t="inlineStr">
        <is>
          <t>Tundra</t>
        </is>
      </c>
      <c r="D345" s="17" t="inlineStr">
        <is>
          <t>TRD Pro CrewMax</t>
        </is>
      </c>
      <c r="E345" s="17" t="inlineStr">
        <is>
          <t>Full-Size Off-Road Pickup</t>
        </is>
      </c>
      <c r="F345" s="17" t="inlineStr">
        <is>
          <t>Gas-Electric Hybrid</t>
        </is>
      </c>
      <c r="G345" s="18" t="n">
        <v>74500</v>
      </c>
      <c r="H345" s="19" t="n">
        <v>437</v>
      </c>
      <c r="I345" s="19" t="n">
        <v>583</v>
      </c>
      <c r="J345" s="17" t="inlineStr">
        <is>
          <t>3.4L Twin-Turbo V6 Hybrid</t>
        </is>
      </c>
      <c r="K345" s="20" t="n">
        <v>3.4</v>
      </c>
      <c r="L345" s="16" t="n">
        <v>6</v>
      </c>
      <c r="M345" s="17" t="inlineStr">
        <is>
          <t>10-Speed Auto</t>
        </is>
      </c>
      <c r="N345" s="16" t="inlineStr">
        <is>
          <t>4WD</t>
        </is>
      </c>
      <c r="O345" s="16" t="inlineStr">
        <is>
          <t>20 (18/20)</t>
        </is>
      </c>
      <c r="P345" s="16" t="inlineStr">
        <is>
          <t>N/A</t>
        </is>
      </c>
      <c r="Q345" s="22" t="n">
        <v>1.87</v>
      </c>
      <c r="R345" s="16" t="n">
        <v>5</v>
      </c>
      <c r="S345" s="22" t="n">
        <v>58.7</v>
      </c>
      <c r="T345" s="19" t="n">
        <v>11175</v>
      </c>
      <c r="U345" s="28" t="inlineStr">
        <is>
          <t>8.5/10</t>
        </is>
      </c>
      <c r="V345" s="24" t="inlineStr">
        <is>
          <t xml:space="preserve"> • Massive instant electric torque
 • Innovative front frunk storage
 • Vehicle-to-home export power</t>
        </is>
      </c>
      <c r="W345" s="25" t="inlineStr">
        <is>
          <t xml:space="preserve"> • Significant range reduction while towing
 • DC fast-charging infrastructure bottlenecks
 • Heavy curb weight</t>
        </is>
      </c>
      <c r="X345" s="26" t="inlineStr">
        <is>
          <t>Revolutionary electric utility that transforms work sites and family travel when towing demands are modest.</t>
        </is>
      </c>
      <c r="Y345" s="27" t="inlineStr">
        <is>
          <t>https://hips.hearstapps.com/hmg-prod/images/2026-toyota-tundra.jpg</t>
        </is>
      </c>
      <c r="Z345" s="27" t="inlineStr">
        <is>
          <t>https://www.caranddriver.com/toyota/tundra</t>
        </is>
      </c>
      <c r="AA345" s="17" t="inlineStr">
        <is>
          <t>Car and Driver Buyer's Guide</t>
        </is>
      </c>
    </row>
    <row r="346" ht="48" customHeight="1">
      <c r="A346" s="4" t="n">
        <v>2026</v>
      </c>
      <c r="B346" s="5" t="inlineStr">
        <is>
          <t>Toyota</t>
        </is>
      </c>
      <c r="C346" s="5" t="inlineStr">
        <is>
          <t>Sienna</t>
        </is>
      </c>
      <c r="D346" s="5" t="inlineStr">
        <is>
          <t>Platinum Hybrid AWD</t>
        </is>
      </c>
      <c r="E346" s="5" t="inlineStr">
        <is>
          <t>Family Minivan</t>
        </is>
      </c>
      <c r="F346" s="5" t="inlineStr">
        <is>
          <t>Gas-Electric Hybrid</t>
        </is>
      </c>
      <c r="G346" s="6" t="n">
        <v>55000</v>
      </c>
      <c r="H346" s="7" t="n">
        <v>245</v>
      </c>
      <c r="I346" s="7" t="n">
        <v>176</v>
      </c>
      <c r="J346" s="5" t="inlineStr">
        <is>
          <t>2.5L I4 + Motors</t>
        </is>
      </c>
      <c r="K346" s="8" t="n">
        <v>2.5</v>
      </c>
      <c r="L346" s="4" t="n">
        <v>4</v>
      </c>
      <c r="M346" s="5" t="inlineStr">
        <is>
          <t>eCVT</t>
        </is>
      </c>
      <c r="N346" s="4" t="inlineStr">
        <is>
          <t>Electronic AWD</t>
        </is>
      </c>
      <c r="O346" s="4" t="inlineStr">
        <is>
          <t>35 (35/36)</t>
        </is>
      </c>
      <c r="P346" s="4" t="inlineStr">
        <is>
          <t>N/A</t>
        </is>
      </c>
      <c r="Q346" s="10" t="n">
        <v>1.9</v>
      </c>
      <c r="R346" s="4" t="n">
        <v>7</v>
      </c>
      <c r="S346" s="10" t="n">
        <v>33.5</v>
      </c>
      <c r="T346" s="7" t="n">
        <v>3500</v>
      </c>
      <c r="U346" s="11" t="inlineStr">
        <is>
          <t>9.0/10</t>
        </is>
      </c>
      <c r="V346" s="12" t="inlineStr">
        <is>
          <t xml:space="preserve"> • Superb real-world fuel economy
 • Smooth electric-gas power handover
 • No range anxiety on long trips</t>
        </is>
      </c>
      <c r="W346" s="13" t="inlineStr">
        <is>
          <t xml:space="preserve"> • Added curb weight from battery packs
 • Slightly compromised cargo space
 • eCVT engine flare during passing</t>
        </is>
      </c>
      <c r="X346" s="14" t="inlineStr">
        <is>
          <t>A finely engineered gas-electric hybrid family minivan striking the optimal balance between high efficiency and long-distance practicality.</t>
        </is>
      </c>
      <c r="Y346" s="15" t="inlineStr">
        <is>
          <t>https://hips.hearstapps.com/hmg-prod/images/2026-toyota-sienna.jpg</t>
        </is>
      </c>
      <c r="Z346" s="15" t="inlineStr">
        <is>
          <t>https://www.caranddriver.com/toyota/sienna</t>
        </is>
      </c>
      <c r="AA346" s="5" t="inlineStr">
        <is>
          <t>Car and Driver Editors' Choice</t>
        </is>
      </c>
    </row>
    <row r="347" ht="48" customHeight="1">
      <c r="A347" s="16" t="n">
        <v>2026</v>
      </c>
      <c r="B347" s="17" t="inlineStr">
        <is>
          <t>Toyota</t>
        </is>
      </c>
      <c r="C347" s="17" t="inlineStr">
        <is>
          <t>bZ4X</t>
        </is>
      </c>
      <c r="D347" s="17" t="inlineStr">
        <is>
          <t>Limited AWD</t>
        </is>
      </c>
      <c r="E347" s="17" t="inlineStr">
        <is>
          <t>Compact Electric SUV</t>
        </is>
      </c>
      <c r="F347" s="17" t="inlineStr">
        <is>
          <t>Electric</t>
        </is>
      </c>
      <c r="G347" s="18" t="n">
        <v>49000</v>
      </c>
      <c r="H347" s="19" t="n">
        <v>214</v>
      </c>
      <c r="I347" s="19" t="n">
        <v>248</v>
      </c>
      <c r="J347" s="17" t="inlineStr">
        <is>
          <t>Dual Electric Motors</t>
        </is>
      </c>
      <c r="K347" s="16" t="inlineStr">
        <is>
          <t>N/A</t>
        </is>
      </c>
      <c r="L347" s="16" t="n">
        <v>0</v>
      </c>
      <c r="M347" s="17" t="inlineStr">
        <is>
          <t>1-Speed Direct</t>
        </is>
      </c>
      <c r="N347" s="16" t="inlineStr">
        <is>
          <t>AWD</t>
        </is>
      </c>
      <c r="O347" s="16" t="inlineStr">
        <is>
          <t>102 MPGe</t>
        </is>
      </c>
      <c r="P347" s="16" t="inlineStr">
        <is>
          <t>222</t>
        </is>
      </c>
      <c r="Q347" s="22" t="n">
        <v>72.8</v>
      </c>
      <c r="R347" s="16" t="n">
        <v>5</v>
      </c>
      <c r="S347" s="22" t="n">
        <v>27.7</v>
      </c>
      <c r="T347" s="16" t="inlineStr">
        <is>
          <t>N/A</t>
        </is>
      </c>
      <c r="U347" s="28" t="inlineStr">
        <is>
          <t>7.0/10</t>
        </is>
      </c>
      <c r="V347" s="24" t="inlineStr">
        <is>
          <t xml:space="preserve"> • Silent, instantaneous acceleration
 • Low center of gravity enhances stability
 • Zero tailpipe emissions</t>
        </is>
      </c>
      <c r="W347" s="25" t="inlineStr">
        <is>
          <t xml:space="preserve"> • Highway range drops at sustained speed
 • Public charging network variability
 • Pricier initial purchase cost</t>
        </is>
      </c>
      <c r="X347" s="26" t="inlineStr">
        <is>
          <t>A compelling electric entry in the compact electric suv segment offering smooth power delivery and advanced tech.</t>
        </is>
      </c>
      <c r="Y347" s="27" t="inlineStr">
        <is>
          <t>https://hips.hearstapps.com/hmg-prod/images/2026-toyota-bz4x.jpg</t>
        </is>
      </c>
      <c r="Z347" s="27" t="inlineStr">
        <is>
          <t>https://www.caranddriver.com/toyota/bz4x</t>
        </is>
      </c>
      <c r="AA347" s="17" t="inlineStr">
        <is>
          <t>Car and Driver Buyer's Guide</t>
        </is>
      </c>
    </row>
    <row r="348" ht="48" customHeight="1">
      <c r="A348" s="4" t="n">
        <v>2026</v>
      </c>
      <c r="B348" s="5" t="inlineStr">
        <is>
          <t>Volkswagen</t>
        </is>
      </c>
      <c r="C348" s="5" t="inlineStr">
        <is>
          <t>Jetta</t>
        </is>
      </c>
      <c r="D348" s="5" t="inlineStr">
        <is>
          <t>GLI Autobahn 6MT</t>
        </is>
      </c>
      <c r="E348" s="5" t="inlineStr">
        <is>
          <t>Sport Compact Sedan</t>
        </is>
      </c>
      <c r="F348" s="5" t="inlineStr">
        <is>
          <t>Gasoline</t>
        </is>
      </c>
      <c r="G348" s="6" t="n">
        <v>33000</v>
      </c>
      <c r="H348" s="7" t="n">
        <v>228</v>
      </c>
      <c r="I348" s="7" t="n">
        <v>258</v>
      </c>
      <c r="J348" s="5" t="inlineStr">
        <is>
          <t>2.0L Turbo TSI I4</t>
        </is>
      </c>
      <c r="K348" s="8" t="n">
        <v>2</v>
      </c>
      <c r="L348" s="4" t="n">
        <v>4</v>
      </c>
      <c r="M348" s="5" t="inlineStr">
        <is>
          <t>6-Speed Manual</t>
        </is>
      </c>
      <c r="N348" s="4" t="inlineStr">
        <is>
          <t>FWD</t>
        </is>
      </c>
      <c r="O348" s="4" t="inlineStr">
        <is>
          <t>30 (26/36)</t>
        </is>
      </c>
      <c r="P348" s="4" t="inlineStr">
        <is>
          <t>N/A</t>
        </is>
      </c>
      <c r="Q348" s="9" t="inlineStr">
        <is>
          <t>N/A</t>
        </is>
      </c>
      <c r="R348" s="4" t="n">
        <v>5</v>
      </c>
      <c r="S348" s="10" t="n">
        <v>14.1</v>
      </c>
      <c r="T348" s="4" t="inlineStr">
        <is>
          <t>N/A</t>
        </is>
      </c>
      <c r="U348" s="11" t="inlineStr">
        <is>
          <t>9.0/10</t>
        </is>
      </c>
      <c r="V348" s="12" t="inlineStr">
        <is>
          <t xml:space="preserve"> • Sharper handling dynamics than taller SUVs
 • Superior highway fuel economy
 • Easy maneuvering in urban spaces</t>
        </is>
      </c>
      <c r="W348" s="13" t="inlineStr">
        <is>
          <t xml:space="preserve"> • Less cargo flexibility than crossovers
 • Lower seating hip point for ingress
 • Fewer AWD options</t>
        </is>
      </c>
      <c r="X348" s="14" t="inlineStr">
        <is>
          <t>A well-proportioned sport compact sedan offering superior driving manners and efficiency over conventional crossovers.</t>
        </is>
      </c>
      <c r="Y348" s="15" t="inlineStr">
        <is>
          <t>https://hips.hearstapps.com/hmg-prod/images/2026-volkswagen-jetta.jpg</t>
        </is>
      </c>
      <c r="Z348" s="15" t="inlineStr">
        <is>
          <t>https://www.caranddriver.com/volkswagen/jetta-gli</t>
        </is>
      </c>
      <c r="AA348" s="5" t="inlineStr">
        <is>
          <t>Car and Driver 10Best</t>
        </is>
      </c>
    </row>
    <row r="349" ht="48" customHeight="1">
      <c r="A349" s="16" t="n">
        <v>2026</v>
      </c>
      <c r="B349" s="17" t="inlineStr">
        <is>
          <t>Volkswagen</t>
        </is>
      </c>
      <c r="C349" s="17" t="inlineStr">
        <is>
          <t>GTI</t>
        </is>
      </c>
      <c r="D349" s="17" t="inlineStr">
        <is>
          <t>Autobahn DSG</t>
        </is>
      </c>
      <c r="E349" s="17" t="inlineStr">
        <is>
          <t>Hot Hatchback</t>
        </is>
      </c>
      <c r="F349" s="17" t="inlineStr">
        <is>
          <t>Gasoline</t>
        </is>
      </c>
      <c r="G349" s="18" t="n">
        <v>41000</v>
      </c>
      <c r="H349" s="19" t="n">
        <v>241</v>
      </c>
      <c r="I349" s="19" t="n">
        <v>273</v>
      </c>
      <c r="J349" s="17" t="inlineStr">
        <is>
          <t>2.0L Turbo TSI I4</t>
        </is>
      </c>
      <c r="K349" s="20" t="n">
        <v>2</v>
      </c>
      <c r="L349" s="16" t="n">
        <v>4</v>
      </c>
      <c r="M349" s="17" t="inlineStr">
        <is>
          <t>7-Speed DSG</t>
        </is>
      </c>
      <c r="N349" s="16" t="inlineStr">
        <is>
          <t>FWD</t>
        </is>
      </c>
      <c r="O349" s="16" t="inlineStr">
        <is>
          <t>27 (24/33)</t>
        </is>
      </c>
      <c r="P349" s="16" t="inlineStr">
        <is>
          <t>N/A</t>
        </is>
      </c>
      <c r="Q349" s="21" t="inlineStr">
        <is>
          <t>N/A</t>
        </is>
      </c>
      <c r="R349" s="16" t="n">
        <v>5</v>
      </c>
      <c r="S349" s="22" t="n">
        <v>19.9</v>
      </c>
      <c r="T349" s="16" t="inlineStr">
        <is>
          <t>N/A</t>
        </is>
      </c>
      <c r="U349" s="23" t="inlineStr">
        <is>
          <t>10/10</t>
        </is>
      </c>
      <c r="V349" s="24" t="inlineStr">
        <is>
          <t xml:space="preserve"> • Sharper handling dynamics than taller SUVs
 • Superior highway fuel economy
 • Easy maneuvering in urban spaces</t>
        </is>
      </c>
      <c r="W349" s="25" t="inlineStr">
        <is>
          <t xml:space="preserve"> • Less cargo flexibility than crossovers
 • Lower seating hip point for ingress
 • Fewer AWD options</t>
        </is>
      </c>
      <c r="X349" s="26" t="inlineStr">
        <is>
          <t>A well-proportioned hot hatchback offering superior driving manners and efficiency over conventional crossovers.</t>
        </is>
      </c>
      <c r="Y349" s="27" t="inlineStr">
        <is>
          <t>https://hips.hearstapps.com/hmg-prod/images/2026-volkswagen-gti.jpg</t>
        </is>
      </c>
      <c r="Z349" s="27" t="inlineStr">
        <is>
          <t>https://www.caranddriver.com/volkswagen/golf-gti</t>
        </is>
      </c>
      <c r="AA349" s="17" t="inlineStr">
        <is>
          <t>Car and Driver 10Best Winner</t>
        </is>
      </c>
    </row>
    <row r="350" ht="48" customHeight="1">
      <c r="A350" s="4" t="n">
        <v>2026</v>
      </c>
      <c r="B350" s="5" t="inlineStr">
        <is>
          <t>Volkswagen</t>
        </is>
      </c>
      <c r="C350" s="5" t="inlineStr">
        <is>
          <t>Golf R</t>
        </is>
      </c>
      <c r="D350" s="5" t="inlineStr">
        <is>
          <t>Base DSG</t>
        </is>
      </c>
      <c r="E350" s="5" t="inlineStr">
        <is>
          <t>Hot Hatchback / AWD Rally</t>
        </is>
      </c>
      <c r="F350" s="5" t="inlineStr">
        <is>
          <t>Gasoline</t>
        </is>
      </c>
      <c r="G350" s="6" t="n">
        <v>47100</v>
      </c>
      <c r="H350" s="7" t="n">
        <v>328</v>
      </c>
      <c r="I350" s="7" t="n">
        <v>310</v>
      </c>
      <c r="J350" s="5" t="inlineStr">
        <is>
          <t>2.0L Turbo TSI I4 (EA888)</t>
        </is>
      </c>
      <c r="K350" s="8" t="n">
        <v>2</v>
      </c>
      <c r="L350" s="4" t="n">
        <v>4</v>
      </c>
      <c r="M350" s="5" t="inlineStr">
        <is>
          <t>7-Speed DSG</t>
        </is>
      </c>
      <c r="N350" s="4" t="inlineStr">
        <is>
          <t>4MOTION AWD</t>
        </is>
      </c>
      <c r="O350" s="4" t="inlineStr">
        <is>
          <t>25 (22/31)</t>
        </is>
      </c>
      <c r="P350" s="4" t="inlineStr">
        <is>
          <t>N/A</t>
        </is>
      </c>
      <c r="Q350" s="9" t="inlineStr">
        <is>
          <t>N/A</t>
        </is>
      </c>
      <c r="R350" s="4" t="n">
        <v>5</v>
      </c>
      <c r="S350" s="10" t="n">
        <v>19.9</v>
      </c>
      <c r="T350" s="4" t="inlineStr">
        <is>
          <t>N/A</t>
        </is>
      </c>
      <c r="U350" s="29" t="inlineStr">
        <is>
          <t>10/10</t>
        </is>
      </c>
      <c r="V350" s="12" t="inlineStr">
        <is>
          <t xml:space="preserve"> • Sharper handling dynamics than taller SUVs
 • Superior highway fuel economy
 • Easy maneuvering in urban spaces</t>
        </is>
      </c>
      <c r="W350" s="13" t="inlineStr">
        <is>
          <t xml:space="preserve"> • Less cargo flexibility than crossovers
 • Lower seating hip point for ingress
 • Fewer AWD options</t>
        </is>
      </c>
      <c r="X350" s="14" t="inlineStr">
        <is>
          <t>A well-proportioned hot hatchback / awd rally offering superior driving manners and efficiency over conventional crossovers.</t>
        </is>
      </c>
      <c r="Y350" s="15" t="inlineStr">
        <is>
          <t>https://hips.hearstapps.com/hmg-prod/images/2026-volkswagen-golf-r.jpg</t>
        </is>
      </c>
      <c r="Z350" s="15" t="inlineStr">
        <is>
          <t>https://www.caranddriver.com/volkswagen/golf-r</t>
        </is>
      </c>
      <c r="AA350" s="5" t="inlineStr">
        <is>
          <t>Car and Driver 10Best Winner</t>
        </is>
      </c>
    </row>
    <row r="351" ht="48" customHeight="1">
      <c r="A351" s="16" t="n">
        <v>2026</v>
      </c>
      <c r="B351" s="17" t="inlineStr">
        <is>
          <t>Volkswagen</t>
        </is>
      </c>
      <c r="C351" s="17" t="inlineStr">
        <is>
          <t>Taos</t>
        </is>
      </c>
      <c r="D351" s="17" t="inlineStr">
        <is>
          <t>SEL 4MOTION</t>
        </is>
      </c>
      <c r="E351" s="17" t="inlineStr">
        <is>
          <t>Subcompact Crossover</t>
        </is>
      </c>
      <c r="F351" s="17" t="inlineStr">
        <is>
          <t>Gasoline</t>
        </is>
      </c>
      <c r="G351" s="18" t="n">
        <v>35000</v>
      </c>
      <c r="H351" s="19" t="n">
        <v>174</v>
      </c>
      <c r="I351" s="19" t="n">
        <v>184</v>
      </c>
      <c r="J351" s="17" t="inlineStr">
        <is>
          <t>1.5L Turbo I4</t>
        </is>
      </c>
      <c r="K351" s="20" t="n">
        <v>1.5</v>
      </c>
      <c r="L351" s="16" t="n">
        <v>4</v>
      </c>
      <c r="M351" s="17" t="inlineStr">
        <is>
          <t>8-Speed Auto</t>
        </is>
      </c>
      <c r="N351" s="16" t="inlineStr">
        <is>
          <t>4MOTION AWD</t>
        </is>
      </c>
      <c r="O351" s="16" t="inlineStr">
        <is>
          <t>28 (25/32)</t>
        </is>
      </c>
      <c r="P351" s="16" t="inlineStr">
        <is>
          <t>N/A</t>
        </is>
      </c>
      <c r="Q351" s="21" t="inlineStr">
        <is>
          <t>N/A</t>
        </is>
      </c>
      <c r="R351" s="16" t="n">
        <v>5</v>
      </c>
      <c r="S351" s="22" t="n">
        <v>24.9</v>
      </c>
      <c r="T351" s="16" t="inlineStr">
        <is>
          <t>N/A</t>
        </is>
      </c>
      <c r="U351" s="28" t="inlineStr">
        <is>
          <t>8.0/10</t>
        </is>
      </c>
      <c r="V351" s="24" t="inlineStr">
        <is>
          <t xml:space="preserve"> • Spacious passenger and cargo room
 • Commanding elevated driving position
 • Confidence-inspiring all-weather grip</t>
        </is>
      </c>
      <c r="W351" s="25" t="inlineStr">
        <is>
          <t xml:space="preserve"> • Higher center of gravity than sedans
 • Fuel consumption under heavy load
 • Less engaging steering feel</t>
        </is>
      </c>
      <c r="X351" s="26" t="inlineStr">
        <is>
          <t>A highly versatile subcompact crossover that delivers generous space, modern safety tech, and daily utility.</t>
        </is>
      </c>
      <c r="Y351" s="27" t="inlineStr">
        <is>
          <t>https://hips.hearstapps.com/hmg-prod/images/2026-volkswagen-taos.jpg</t>
        </is>
      </c>
      <c r="Z351" s="27" t="inlineStr">
        <is>
          <t>https://www.caranddriver.com/volkswagen/taos</t>
        </is>
      </c>
      <c r="AA351" s="17" t="inlineStr">
        <is>
          <t>Car and Driver Buyer's Guide</t>
        </is>
      </c>
    </row>
    <row r="352" ht="48" customHeight="1">
      <c r="A352" s="4" t="n">
        <v>2026</v>
      </c>
      <c r="B352" s="5" t="inlineStr">
        <is>
          <t>Volkswagen</t>
        </is>
      </c>
      <c r="C352" s="5" t="inlineStr">
        <is>
          <t>Tiguan</t>
        </is>
      </c>
      <c r="D352" s="5" t="inlineStr">
        <is>
          <t>SEL R-Line 4MOTION (Next-Gen)</t>
        </is>
      </c>
      <c r="E352" s="5" t="inlineStr">
        <is>
          <t>Compact Crossover</t>
        </is>
      </c>
      <c r="F352" s="5" t="inlineStr">
        <is>
          <t>Gasoline</t>
        </is>
      </c>
      <c r="G352" s="6" t="n">
        <v>42000</v>
      </c>
      <c r="H352" s="7" t="n">
        <v>201</v>
      </c>
      <c r="I352" s="7" t="n">
        <v>221</v>
      </c>
      <c r="J352" s="5" t="inlineStr">
        <is>
          <t>2.0L Turbo I4</t>
        </is>
      </c>
      <c r="K352" s="8" t="n">
        <v>2</v>
      </c>
      <c r="L352" s="4" t="n">
        <v>4</v>
      </c>
      <c r="M352" s="5" t="inlineStr">
        <is>
          <t>8-Speed Auto</t>
        </is>
      </c>
      <c r="N352" s="4" t="inlineStr">
        <is>
          <t>4MOTION AWD</t>
        </is>
      </c>
      <c r="O352" s="4" t="inlineStr">
        <is>
          <t>25 (22/29 Est)</t>
        </is>
      </c>
      <c r="P352" s="4" t="inlineStr">
        <is>
          <t>N/A</t>
        </is>
      </c>
      <c r="Q352" s="9" t="inlineStr">
        <is>
          <t>N/A</t>
        </is>
      </c>
      <c r="R352" s="4" t="n">
        <v>5</v>
      </c>
      <c r="S352" s="10" t="n">
        <v>33</v>
      </c>
      <c r="T352" s="7" t="n">
        <v>1500</v>
      </c>
      <c r="U352" s="11" t="inlineStr">
        <is>
          <t>8.5/10</t>
        </is>
      </c>
      <c r="V352" s="12" t="inlineStr">
        <is>
          <t xml:space="preserve"> • Spacious passenger and cargo room
 • Commanding elevated driving position
 • Confidence-inspiring all-weather grip</t>
        </is>
      </c>
      <c r="W352" s="13" t="inlineStr">
        <is>
          <t xml:space="preserve"> • Higher center of gravity than sedans
 • Fuel consumption under heavy load
 • Less engaging steering feel</t>
        </is>
      </c>
      <c r="X352" s="14" t="inlineStr">
        <is>
          <t>A highly versatile compact crossover that delivers generous space, modern safety tech, and daily utility.</t>
        </is>
      </c>
      <c r="Y352" s="15" t="inlineStr">
        <is>
          <t>https://hips.hearstapps.com/hmg-prod/images/2026-volkswagen-tiguan.jpg</t>
        </is>
      </c>
      <c r="Z352" s="15" t="inlineStr">
        <is>
          <t>https://www.caranddriver.com/volkswagen/tiguan</t>
        </is>
      </c>
      <c r="AA352" s="5" t="inlineStr">
        <is>
          <t>Car and Driver First Look</t>
        </is>
      </c>
    </row>
    <row r="353" ht="48" customHeight="1">
      <c r="A353" s="16" t="n">
        <v>2026</v>
      </c>
      <c r="B353" s="17" t="inlineStr">
        <is>
          <t>Volkswagen</t>
        </is>
      </c>
      <c r="C353" s="17" t="inlineStr">
        <is>
          <t>Atlas</t>
        </is>
      </c>
      <c r="D353" s="17" t="inlineStr">
        <is>
          <t>SEL Premium R-Line</t>
        </is>
      </c>
      <c r="E353" s="17" t="inlineStr">
        <is>
          <t>3-Row Mid-Size Family SUV</t>
        </is>
      </c>
      <c r="F353" s="17" t="inlineStr">
        <is>
          <t>Gasoline</t>
        </is>
      </c>
      <c r="G353" s="18" t="n">
        <v>54000</v>
      </c>
      <c r="H353" s="19" t="n">
        <v>269</v>
      </c>
      <c r="I353" s="19" t="n">
        <v>273</v>
      </c>
      <c r="J353" s="17" t="inlineStr">
        <is>
          <t>2.0L Turbo TSI I4</t>
        </is>
      </c>
      <c r="K353" s="20" t="n">
        <v>2</v>
      </c>
      <c r="L353" s="16" t="n">
        <v>4</v>
      </c>
      <c r="M353" s="17" t="inlineStr">
        <is>
          <t>8-Speed Auto</t>
        </is>
      </c>
      <c r="N353" s="16" t="inlineStr">
        <is>
          <t>4MOTION AWD</t>
        </is>
      </c>
      <c r="O353" s="16" t="inlineStr">
        <is>
          <t>21 (19/25)</t>
        </is>
      </c>
      <c r="P353" s="16" t="inlineStr">
        <is>
          <t>N/A</t>
        </is>
      </c>
      <c r="Q353" s="21" t="inlineStr">
        <is>
          <t>N/A</t>
        </is>
      </c>
      <c r="R353" s="16" t="n">
        <v>7</v>
      </c>
      <c r="S353" s="22" t="n">
        <v>20.6</v>
      </c>
      <c r="T353" s="19" t="n">
        <v>5000</v>
      </c>
      <c r="U353" s="28" t="inlineStr">
        <is>
          <t>8.5/10</t>
        </is>
      </c>
      <c r="V353" s="24" t="inlineStr">
        <is>
          <t xml:space="preserve"> • Spacious passenger and cargo room
 • Commanding elevated driving position
 • Confidence-inspiring all-weather grip</t>
        </is>
      </c>
      <c r="W353" s="25" t="inlineStr">
        <is>
          <t xml:space="preserve"> • Higher center of gravity than sedans
 • Fuel consumption under heavy load
 • Less engaging steering feel</t>
        </is>
      </c>
      <c r="X353" s="26" t="inlineStr">
        <is>
          <t>A highly versatile 3-row mid-size family suv that delivers generous space, modern safety tech, and daily utility.</t>
        </is>
      </c>
      <c r="Y353" s="27" t="inlineStr">
        <is>
          <t>https://hips.hearstapps.com/hmg-prod/images/2026-volkswagen-atlas.jpg</t>
        </is>
      </c>
      <c r="Z353" s="27" t="inlineStr">
        <is>
          <t>https://www.caranddriver.com/volkswagen/atlas</t>
        </is>
      </c>
      <c r="AA353" s="17" t="inlineStr">
        <is>
          <t>Car and Driver Buyer's Guide</t>
        </is>
      </c>
    </row>
    <row r="354" ht="48" customHeight="1">
      <c r="A354" s="4" t="n">
        <v>2026</v>
      </c>
      <c r="B354" s="5" t="inlineStr">
        <is>
          <t>Volkswagen</t>
        </is>
      </c>
      <c r="C354" s="5" t="inlineStr">
        <is>
          <t>Atlas Cross Sport</t>
        </is>
      </c>
      <c r="D354" s="5" t="inlineStr">
        <is>
          <t>SEL Premium R-Line</t>
        </is>
      </c>
      <c r="E354" s="5" t="inlineStr">
        <is>
          <t>Mid-Size 2-Row SUV</t>
        </is>
      </c>
      <c r="F354" s="5" t="inlineStr">
        <is>
          <t>Gasoline</t>
        </is>
      </c>
      <c r="G354" s="6" t="n">
        <v>53000</v>
      </c>
      <c r="H354" s="7" t="n">
        <v>269</v>
      </c>
      <c r="I354" s="7" t="n">
        <v>273</v>
      </c>
      <c r="J354" s="5" t="inlineStr">
        <is>
          <t>2.0L Turbo TSI I4</t>
        </is>
      </c>
      <c r="K354" s="8" t="n">
        <v>2</v>
      </c>
      <c r="L354" s="4" t="n">
        <v>4</v>
      </c>
      <c r="M354" s="5" t="inlineStr">
        <is>
          <t>8-Speed Auto</t>
        </is>
      </c>
      <c r="N354" s="4" t="inlineStr">
        <is>
          <t>4MOTION AWD</t>
        </is>
      </c>
      <c r="O354" s="4" t="inlineStr">
        <is>
          <t>21 (19/25)</t>
        </is>
      </c>
      <c r="P354" s="4" t="inlineStr">
        <is>
          <t>N/A</t>
        </is>
      </c>
      <c r="Q354" s="9" t="inlineStr">
        <is>
          <t>N/A</t>
        </is>
      </c>
      <c r="R354" s="4" t="n">
        <v>5</v>
      </c>
      <c r="S354" s="10" t="n">
        <v>40.3</v>
      </c>
      <c r="T354" s="7" t="n">
        <v>5000</v>
      </c>
      <c r="U354" s="11" t="inlineStr">
        <is>
          <t>8.5/10</t>
        </is>
      </c>
      <c r="V354" s="12" t="inlineStr">
        <is>
          <t xml:space="preserve"> • Spacious passenger and cargo room
 • Commanding elevated driving position
 • Confidence-inspiring all-weather grip</t>
        </is>
      </c>
      <c r="W354" s="13" t="inlineStr">
        <is>
          <t xml:space="preserve"> • Higher center of gravity than sedans
 • Fuel consumption under heavy load
 • Less engaging steering feel</t>
        </is>
      </c>
      <c r="X354" s="14" t="inlineStr">
        <is>
          <t>A highly versatile mid-size 2-row suv that delivers generous space, modern safety tech, and daily utility.</t>
        </is>
      </c>
      <c r="Y354" s="15" t="inlineStr">
        <is>
          <t>https://hips.hearstapps.com/hmg-prod/images/2026-volkswagen-atlas-cross-sport.jpg</t>
        </is>
      </c>
      <c r="Z354" s="15" t="inlineStr">
        <is>
          <t>https://www.caranddriver.com/volkswagen/atlas-cross-sport</t>
        </is>
      </c>
      <c r="AA354" s="5" t="inlineStr">
        <is>
          <t>Car and Driver Buyer's Guide</t>
        </is>
      </c>
    </row>
    <row r="355" ht="48" customHeight="1">
      <c r="A355" s="16" t="n">
        <v>2026</v>
      </c>
      <c r="B355" s="17" t="inlineStr">
        <is>
          <t>Volkswagen</t>
        </is>
      </c>
      <c r="C355" s="17" t="inlineStr">
        <is>
          <t>ID.4</t>
        </is>
      </c>
      <c r="D355" s="17" t="inlineStr">
        <is>
          <t>Pro S AWD</t>
        </is>
      </c>
      <c r="E355" s="17" t="inlineStr">
        <is>
          <t>Compact Electric SUV</t>
        </is>
      </c>
      <c r="F355" s="17" t="inlineStr">
        <is>
          <t>Electric</t>
        </is>
      </c>
      <c r="G355" s="18" t="n">
        <v>55300</v>
      </c>
      <c r="H355" s="19" t="n">
        <v>335</v>
      </c>
      <c r="I355" s="19" t="n">
        <v>402</v>
      </c>
      <c r="J355" s="17" t="inlineStr">
        <is>
          <t>Dual Electric Motors</t>
        </is>
      </c>
      <c r="K355" s="16" t="inlineStr">
        <is>
          <t>N/A</t>
        </is>
      </c>
      <c r="L355" s="16" t="n">
        <v>0</v>
      </c>
      <c r="M355" s="17" t="inlineStr">
        <is>
          <t>1-Speed Direct</t>
        </is>
      </c>
      <c r="N355" s="16" t="inlineStr">
        <is>
          <t>AWD</t>
        </is>
      </c>
      <c r="O355" s="16" t="inlineStr">
        <is>
          <t>99 MPGe</t>
        </is>
      </c>
      <c r="P355" s="16" t="inlineStr">
        <is>
          <t>263</t>
        </is>
      </c>
      <c r="Q355" s="22" t="n">
        <v>82</v>
      </c>
      <c r="R355" s="16" t="n">
        <v>5</v>
      </c>
      <c r="S355" s="22" t="n">
        <v>30.3</v>
      </c>
      <c r="T355" s="19" t="n">
        <v>2700</v>
      </c>
      <c r="U355" s="28" t="inlineStr">
        <is>
          <t>8.0/10</t>
        </is>
      </c>
      <c r="V355" s="24" t="inlineStr">
        <is>
          <t xml:space="preserve"> • Silent, instantaneous acceleration
 • Low center of gravity enhances stability
 • Zero tailpipe emissions</t>
        </is>
      </c>
      <c r="W355" s="25" t="inlineStr">
        <is>
          <t xml:space="preserve"> • Highway range drops at sustained speed
 • Public charging network variability
 • Pricier initial purchase cost</t>
        </is>
      </c>
      <c r="X355" s="26" t="inlineStr">
        <is>
          <t>A compelling electric entry in the compact electric suv segment offering smooth power delivery and advanced tech.</t>
        </is>
      </c>
      <c r="Y355" s="27" t="inlineStr">
        <is>
          <t>https://hips.hearstapps.com/hmg-prod/images/2026-volkswagen-id4.jpg</t>
        </is>
      </c>
      <c r="Z355" s="27" t="inlineStr">
        <is>
          <t>https://www.caranddriver.com/volkswagen/id4</t>
        </is>
      </c>
      <c r="AA355" s="17" t="inlineStr">
        <is>
          <t>Car and Driver Buyer's Guide</t>
        </is>
      </c>
    </row>
    <row r="356" ht="48" customHeight="1">
      <c r="A356" s="4" t="n">
        <v>2026</v>
      </c>
      <c r="B356" s="5" t="inlineStr">
        <is>
          <t>Volkswagen</t>
        </is>
      </c>
      <c r="C356" s="5" t="inlineStr">
        <is>
          <t>ID. Buzz</t>
        </is>
      </c>
      <c r="D356" s="5" t="inlineStr">
        <is>
          <t>Pro S Plus AWD</t>
        </is>
      </c>
      <c r="E356" s="5" t="inlineStr">
        <is>
          <t>Electric Microbus / Minivan</t>
        </is>
      </c>
      <c r="F356" s="5" t="inlineStr">
        <is>
          <t>Electric</t>
        </is>
      </c>
      <c r="G356" s="6" t="n">
        <v>69995</v>
      </c>
      <c r="H356" s="7" t="n">
        <v>335</v>
      </c>
      <c r="I356" s="7" t="n">
        <v>413</v>
      </c>
      <c r="J356" s="5" t="inlineStr">
        <is>
          <t>Dual Electric Motors</t>
        </is>
      </c>
      <c r="K356" s="4" t="inlineStr">
        <is>
          <t>N/A</t>
        </is>
      </c>
      <c r="L356" s="4" t="n">
        <v>0</v>
      </c>
      <c r="M356" s="5" t="inlineStr">
        <is>
          <t>1-Speed Direct</t>
        </is>
      </c>
      <c r="N356" s="4" t="inlineStr">
        <is>
          <t>4MOTION AWD</t>
        </is>
      </c>
      <c r="O356" s="4" t="inlineStr">
        <is>
          <t>80 MPGe</t>
        </is>
      </c>
      <c r="P356" s="4" t="inlineStr">
        <is>
          <t>231</t>
        </is>
      </c>
      <c r="Q356" s="10" t="n">
        <v>91</v>
      </c>
      <c r="R356" s="4" t="n">
        <v>7</v>
      </c>
      <c r="S356" s="10" t="n">
        <v>18.6</v>
      </c>
      <c r="T356" s="7" t="n">
        <v>3500</v>
      </c>
      <c r="U356" s="11" t="inlineStr">
        <is>
          <t>8.5/10</t>
        </is>
      </c>
      <c r="V356" s="12" t="inlineStr">
        <is>
          <t xml:space="preserve"> • Silent, instantaneous acceleration
 • Low center of gravity enhances stability
 • Zero tailpipe emissions</t>
        </is>
      </c>
      <c r="W356" s="13" t="inlineStr">
        <is>
          <t xml:space="preserve"> • Highway range drops at sustained speed
 • Public charging network variability
 • Pricier initial purchase cost</t>
        </is>
      </c>
      <c r="X356" s="14" t="inlineStr">
        <is>
          <t>A compelling electric entry in the electric microbus / minivan segment offering smooth power delivery and advanced tech.</t>
        </is>
      </c>
      <c r="Y356" s="15" t="inlineStr">
        <is>
          <t>https://hips.hearstapps.com/hmg-prod/images/2026-volkswagen-id-buzz.jpg</t>
        </is>
      </c>
      <c r="Z356" s="15" t="inlineStr">
        <is>
          <t>https://www.caranddriver.com/volkswagen/id-buzz</t>
        </is>
      </c>
      <c r="AA356" s="5" t="inlineStr">
        <is>
          <t>Car and Driver Buyer's Guide</t>
        </is>
      </c>
    </row>
    <row r="357" ht="48" customHeight="1">
      <c r="A357" s="16" t="n">
        <v>2026</v>
      </c>
      <c r="B357" s="17" t="inlineStr">
        <is>
          <t>Volkswagen</t>
        </is>
      </c>
      <c r="C357" s="17" t="inlineStr">
        <is>
          <t>ID.7</t>
        </is>
      </c>
      <c r="D357" s="17" t="inlineStr">
        <is>
          <t>Pro S AWD</t>
        </is>
      </c>
      <c r="E357" s="17" t="inlineStr">
        <is>
          <t>Executive Electric Sedan</t>
        </is>
      </c>
      <c r="F357" s="17" t="inlineStr">
        <is>
          <t>Electric</t>
        </is>
      </c>
      <c r="G357" s="18" t="n">
        <v>62000</v>
      </c>
      <c r="H357" s="19" t="n">
        <v>335</v>
      </c>
      <c r="I357" s="19" t="n">
        <v>402</v>
      </c>
      <c r="J357" s="17" t="inlineStr">
        <is>
          <t>Dual Electric Motors</t>
        </is>
      </c>
      <c r="K357" s="16" t="inlineStr">
        <is>
          <t>N/A</t>
        </is>
      </c>
      <c r="L357" s="16" t="n">
        <v>0</v>
      </c>
      <c r="M357" s="17" t="inlineStr">
        <is>
          <t>1-Speed Direct</t>
        </is>
      </c>
      <c r="N357" s="16" t="inlineStr">
        <is>
          <t>AWD</t>
        </is>
      </c>
      <c r="O357" s="16" t="inlineStr">
        <is>
          <t>102 MPGe (Est)</t>
        </is>
      </c>
      <c r="P357" s="16" t="inlineStr">
        <is>
          <t>330</t>
        </is>
      </c>
      <c r="Q357" s="22" t="n">
        <v>82</v>
      </c>
      <c r="R357" s="16" t="n">
        <v>5</v>
      </c>
      <c r="S357" s="22" t="n">
        <v>18.7</v>
      </c>
      <c r="T357" s="16" t="inlineStr">
        <is>
          <t>N/A</t>
        </is>
      </c>
      <c r="U357" s="28" t="inlineStr">
        <is>
          <t>8.5/10</t>
        </is>
      </c>
      <c r="V357" s="24" t="inlineStr">
        <is>
          <t xml:space="preserve"> • Silent, instantaneous acceleration
 • Low center of gravity enhances stability
 • Zero tailpipe emissions</t>
        </is>
      </c>
      <c r="W357" s="25" t="inlineStr">
        <is>
          <t xml:space="preserve"> • Highway range drops at sustained speed
 • Public charging network variability
 • Pricier initial purchase cost</t>
        </is>
      </c>
      <c r="X357" s="26" t="inlineStr">
        <is>
          <t>A compelling electric entry in the executive electric sedan segment offering smooth power delivery and advanced tech.</t>
        </is>
      </c>
      <c r="Y357" s="27" t="inlineStr">
        <is>
          <t>https://hips.hearstapps.com/hmg-prod/images/2026-volkswagen-id7.jpg</t>
        </is>
      </c>
      <c r="Z357" s="27" t="inlineStr">
        <is>
          <t>https://www.caranddriver.com/volkswagen/id7</t>
        </is>
      </c>
      <c r="AA357" s="17" t="inlineStr">
        <is>
          <t>Car and Driver First Drive</t>
        </is>
      </c>
    </row>
    <row r="358" ht="48" customHeight="1">
      <c r="A358" s="4" t="n">
        <v>2026</v>
      </c>
      <c r="B358" s="5" t="inlineStr">
        <is>
          <t>Volvo</t>
        </is>
      </c>
      <c r="C358" s="5" t="inlineStr">
        <is>
          <t>EX30</t>
        </is>
      </c>
      <c r="D358" s="5" t="inlineStr">
        <is>
          <t>Twin Motor Performance Ultra</t>
        </is>
      </c>
      <c r="E358" s="5" t="inlineStr">
        <is>
          <t>Subcompact Luxury EV SUV</t>
        </is>
      </c>
      <c r="F358" s="5" t="inlineStr">
        <is>
          <t>Electric</t>
        </is>
      </c>
      <c r="G358" s="6" t="n">
        <v>47895</v>
      </c>
      <c r="H358" s="7" t="n">
        <v>422</v>
      </c>
      <c r="I358" s="7" t="n">
        <v>400</v>
      </c>
      <c r="J358" s="5" t="inlineStr">
        <is>
          <t>Dual Electric Motors</t>
        </is>
      </c>
      <c r="K358" s="4" t="inlineStr">
        <is>
          <t>N/A</t>
        </is>
      </c>
      <c r="L358" s="4" t="n">
        <v>0</v>
      </c>
      <c r="M358" s="5" t="inlineStr">
        <is>
          <t>1-Speed Direct</t>
        </is>
      </c>
      <c r="N358" s="4" t="inlineStr">
        <is>
          <t>AWD</t>
        </is>
      </c>
      <c r="O358" s="4" t="inlineStr">
        <is>
          <t>104 MPGe</t>
        </is>
      </c>
      <c r="P358" s="4" t="inlineStr">
        <is>
          <t>265</t>
        </is>
      </c>
      <c r="Q358" s="10" t="n">
        <v>69</v>
      </c>
      <c r="R358" s="4" t="n">
        <v>5</v>
      </c>
      <c r="S358" s="10" t="n">
        <v>11.2</v>
      </c>
      <c r="T358" s="7" t="n">
        <v>2000</v>
      </c>
      <c r="U358" s="11" t="inlineStr">
        <is>
          <t>9.0/10</t>
        </is>
      </c>
      <c r="V358" s="12" t="inlineStr">
        <is>
          <t xml:space="preserve"> • Silent, instantaneous acceleration
 • Low center of gravity enhances stability
 • Zero tailpipe emissions</t>
        </is>
      </c>
      <c r="W358" s="13" t="inlineStr">
        <is>
          <t xml:space="preserve"> • Highway range drops at sustained speed
 • Public charging network variability
 • Pricier initial purchase cost</t>
        </is>
      </c>
      <c r="X358" s="14" t="inlineStr">
        <is>
          <t>A compelling electric entry in the subcompact luxury ev suv segment offering smooth power delivery and advanced tech.</t>
        </is>
      </c>
      <c r="Y358" s="15" t="inlineStr">
        <is>
          <t>https://hips.hearstapps.com/hmg-prod/images/2026-volvo-ex30.jpg</t>
        </is>
      </c>
      <c r="Z358" s="15" t="inlineStr">
        <is>
          <t>https://www.caranddriver.com/volvo/ex30</t>
        </is>
      </c>
      <c r="AA358" s="5" t="inlineStr">
        <is>
          <t>Car and Driver First Look</t>
        </is>
      </c>
    </row>
    <row r="359" ht="48" customHeight="1">
      <c r="A359" s="16" t="n">
        <v>2026</v>
      </c>
      <c r="B359" s="17" t="inlineStr">
        <is>
          <t>Volvo</t>
        </is>
      </c>
      <c r="C359" s="17" t="inlineStr">
        <is>
          <t>EX40 (XC40 Recharge)</t>
        </is>
      </c>
      <c r="D359" s="17" t="inlineStr">
        <is>
          <t>Twin Motor Ultimate</t>
        </is>
      </c>
      <c r="E359" s="17" t="inlineStr">
        <is>
          <t>Compact Luxury EV SUV</t>
        </is>
      </c>
      <c r="F359" s="17" t="inlineStr">
        <is>
          <t>Electric</t>
        </is>
      </c>
      <c r="G359" s="18" t="n">
        <v>61000</v>
      </c>
      <c r="H359" s="19" t="n">
        <v>402</v>
      </c>
      <c r="I359" s="19" t="n">
        <v>494</v>
      </c>
      <c r="J359" s="17" t="inlineStr">
        <is>
          <t>Dual Electric Motors</t>
        </is>
      </c>
      <c r="K359" s="16" t="inlineStr">
        <is>
          <t>N/A</t>
        </is>
      </c>
      <c r="L359" s="16" t="n">
        <v>0</v>
      </c>
      <c r="M359" s="17" t="inlineStr">
        <is>
          <t>1-Speed Direct</t>
        </is>
      </c>
      <c r="N359" s="16" t="inlineStr">
        <is>
          <t>AWD</t>
        </is>
      </c>
      <c r="O359" s="16" t="inlineStr">
        <is>
          <t>98 MPGe</t>
        </is>
      </c>
      <c r="P359" s="16" t="inlineStr">
        <is>
          <t>254</t>
        </is>
      </c>
      <c r="Q359" s="22" t="n">
        <v>82</v>
      </c>
      <c r="R359" s="16" t="n">
        <v>5</v>
      </c>
      <c r="S359" s="22" t="n">
        <v>16</v>
      </c>
      <c r="T359" s="19" t="n">
        <v>2000</v>
      </c>
      <c r="U359" s="28" t="inlineStr">
        <is>
          <t>8.5/10</t>
        </is>
      </c>
      <c r="V359" s="24" t="inlineStr">
        <is>
          <t xml:space="preserve"> • Silent, instantaneous acceleration
 • Low center of gravity enhances stability
 • Zero tailpipe emissions</t>
        </is>
      </c>
      <c r="W359" s="25" t="inlineStr">
        <is>
          <t xml:space="preserve"> • Highway range drops at sustained speed
 • Public charging network variability
 • Pricier initial purchase cost</t>
        </is>
      </c>
      <c r="X359" s="26" t="inlineStr">
        <is>
          <t>A compelling electric entry in the compact luxury ev suv segment offering smooth power delivery and advanced tech.</t>
        </is>
      </c>
      <c r="Y359" s="27" t="inlineStr">
        <is>
          <t>https://hips.hearstapps.com/hmg-prod/images/2026-volvo-ex40-(xc40-recharge).jpg</t>
        </is>
      </c>
      <c r="Z359" s="27" t="inlineStr">
        <is>
          <t>https://www.caranddriver.com/volvo/xc40-recharge</t>
        </is>
      </c>
      <c r="AA359" s="17" t="inlineStr">
        <is>
          <t>Car and Driver Buyer's Guide</t>
        </is>
      </c>
    </row>
    <row r="360" ht="48" customHeight="1">
      <c r="A360" s="4" t="n">
        <v>2026</v>
      </c>
      <c r="B360" s="5" t="inlineStr">
        <is>
          <t>Volvo</t>
        </is>
      </c>
      <c r="C360" s="5" t="inlineStr">
        <is>
          <t>EC40 (C40 Recharge)</t>
        </is>
      </c>
      <c r="D360" s="5" t="inlineStr">
        <is>
          <t>Twin Motor Ultimate</t>
        </is>
      </c>
      <c r="E360" s="5" t="inlineStr">
        <is>
          <t>Luxury EV Coupe Crossover</t>
        </is>
      </c>
      <c r="F360" s="5" t="inlineStr">
        <is>
          <t>Electric</t>
        </is>
      </c>
      <c r="G360" s="6" t="n">
        <v>62000</v>
      </c>
      <c r="H360" s="7" t="n">
        <v>402</v>
      </c>
      <c r="I360" s="7" t="n">
        <v>494</v>
      </c>
      <c r="J360" s="5" t="inlineStr">
        <is>
          <t>Dual Electric Motors</t>
        </is>
      </c>
      <c r="K360" s="4" t="inlineStr">
        <is>
          <t>N/A</t>
        </is>
      </c>
      <c r="L360" s="4" t="n">
        <v>0</v>
      </c>
      <c r="M360" s="5" t="inlineStr">
        <is>
          <t>1-Speed Direct</t>
        </is>
      </c>
      <c r="N360" s="4" t="inlineStr">
        <is>
          <t>AWD</t>
        </is>
      </c>
      <c r="O360" s="4" t="inlineStr">
        <is>
          <t>99 MPGe</t>
        </is>
      </c>
      <c r="P360" s="4" t="inlineStr">
        <is>
          <t>257</t>
        </is>
      </c>
      <c r="Q360" s="10" t="n">
        <v>82</v>
      </c>
      <c r="R360" s="4" t="n">
        <v>5</v>
      </c>
      <c r="S360" s="10" t="n">
        <v>14.6</v>
      </c>
      <c r="T360" s="7" t="n">
        <v>2000</v>
      </c>
      <c r="U360" s="11" t="inlineStr">
        <is>
          <t>8.0/10</t>
        </is>
      </c>
      <c r="V360" s="12" t="inlineStr">
        <is>
          <t xml:space="preserve"> • Silent, instantaneous acceleration
 • Low center of gravity enhances stability
 • Zero tailpipe emissions</t>
        </is>
      </c>
      <c r="W360" s="13" t="inlineStr">
        <is>
          <t xml:space="preserve"> • Highway range drops at sustained speed
 • Public charging network variability
 • Pricier initial purchase cost</t>
        </is>
      </c>
      <c r="X360" s="14" t="inlineStr">
        <is>
          <t>A compelling electric entry in the luxury ev coupe crossover segment offering smooth power delivery and advanced tech.</t>
        </is>
      </c>
      <c r="Y360" s="15" t="inlineStr">
        <is>
          <t>https://hips.hearstapps.com/hmg-prod/images/2026-volvo-ec40-(c40-recharge).jpg</t>
        </is>
      </c>
      <c r="Z360" s="15" t="inlineStr">
        <is>
          <t>https://www.caranddriver.com/volvo/c40-recharge</t>
        </is>
      </c>
      <c r="AA360" s="5" t="inlineStr">
        <is>
          <t>Car and Driver Buyer's Guide</t>
        </is>
      </c>
    </row>
    <row r="361" ht="48" customHeight="1">
      <c r="A361" s="16" t="n">
        <v>2026</v>
      </c>
      <c r="B361" s="17" t="inlineStr">
        <is>
          <t>Volvo</t>
        </is>
      </c>
      <c r="C361" s="17" t="inlineStr">
        <is>
          <t>XC60</t>
        </is>
      </c>
      <c r="D361" s="17" t="inlineStr">
        <is>
          <t>T8 Plug-in Hybrid Ultra</t>
        </is>
      </c>
      <c r="E361" s="17" t="inlineStr">
        <is>
          <t>Mid-Size Luxury SUV</t>
        </is>
      </c>
      <c r="F361" s="17" t="inlineStr">
        <is>
          <t>PHEV</t>
        </is>
      </c>
      <c r="G361" s="18" t="n">
        <v>69500</v>
      </c>
      <c r="H361" s="19" t="n">
        <v>455</v>
      </c>
      <c r="I361" s="19" t="n">
        <v>523</v>
      </c>
      <c r="J361" s="17" t="inlineStr">
        <is>
          <t>2.0L Turbo I4 + Motor</t>
        </is>
      </c>
      <c r="K361" s="20" t="n">
        <v>2</v>
      </c>
      <c r="L361" s="16" t="n">
        <v>4</v>
      </c>
      <c r="M361" s="17" t="inlineStr">
        <is>
          <t>8-Speed Auto</t>
        </is>
      </c>
      <c r="N361" s="16" t="inlineStr">
        <is>
          <t>eAWD</t>
        </is>
      </c>
      <c r="O361" s="16" t="inlineStr">
        <is>
          <t>63 MPGe / 28 Comb</t>
        </is>
      </c>
      <c r="P361" s="16" t="inlineStr">
        <is>
          <t>35</t>
        </is>
      </c>
      <c r="Q361" s="22" t="n">
        <v>18.8</v>
      </c>
      <c r="R361" s="16" t="n">
        <v>5</v>
      </c>
      <c r="S361" s="22" t="n">
        <v>22.4</v>
      </c>
      <c r="T361" s="19" t="n">
        <v>3500</v>
      </c>
      <c r="U361" s="28" t="inlineStr">
        <is>
          <t>8.5/10</t>
        </is>
      </c>
      <c r="V361" s="24" t="inlineStr">
        <is>
          <t xml:space="preserve"> • Superb real-world fuel economy
 • Smooth electric-gas power handover
 • No range anxiety on long trips</t>
        </is>
      </c>
      <c r="W361" s="25" t="inlineStr">
        <is>
          <t xml:space="preserve"> • Added curb weight from battery packs
 • Slightly compromised cargo space
 • eCVT engine flare during passing</t>
        </is>
      </c>
      <c r="X361" s="26" t="inlineStr">
        <is>
          <t>A finely engineered phev mid-size luxury suv striking the optimal balance between high efficiency and long-distance practicality.</t>
        </is>
      </c>
      <c r="Y361" s="27" t="inlineStr">
        <is>
          <t>https://hips.hearstapps.com/hmg-prod/images/2026-volvo-xc60.jpg</t>
        </is>
      </c>
      <c r="Z361" s="27" t="inlineStr">
        <is>
          <t>https://www.caranddriver.com/volvo/xc60</t>
        </is>
      </c>
      <c r="AA361" s="17" t="inlineStr">
        <is>
          <t>Car and Driver Buyer's Guide</t>
        </is>
      </c>
    </row>
    <row r="362" ht="48" customHeight="1">
      <c r="A362" s="4" t="n">
        <v>2026</v>
      </c>
      <c r="B362" s="5" t="inlineStr">
        <is>
          <t>Volvo</t>
        </is>
      </c>
      <c r="C362" s="5" t="inlineStr">
        <is>
          <t>XC90</t>
        </is>
      </c>
      <c r="D362" s="5" t="inlineStr">
        <is>
          <t>T8 Plug-in Hybrid Ultra</t>
        </is>
      </c>
      <c r="E362" s="5" t="inlineStr">
        <is>
          <t>3-Row Luxury SUV</t>
        </is>
      </c>
      <c r="F362" s="5" t="inlineStr">
        <is>
          <t>PHEV</t>
        </is>
      </c>
      <c r="G362" s="6" t="n">
        <v>80895</v>
      </c>
      <c r="H362" s="7" t="n">
        <v>455</v>
      </c>
      <c r="I362" s="7" t="n">
        <v>523</v>
      </c>
      <c r="J362" s="5" t="inlineStr">
        <is>
          <t>2.0L Turbo I4 + Motor</t>
        </is>
      </c>
      <c r="K362" s="8" t="n">
        <v>2</v>
      </c>
      <c r="L362" s="4" t="n">
        <v>4</v>
      </c>
      <c r="M362" s="5" t="inlineStr">
        <is>
          <t>8-Speed Auto</t>
        </is>
      </c>
      <c r="N362" s="4" t="inlineStr">
        <is>
          <t>eAWD</t>
        </is>
      </c>
      <c r="O362" s="4" t="inlineStr">
        <is>
          <t>58 MPGe / 27 Comb</t>
        </is>
      </c>
      <c r="P362" s="4" t="inlineStr">
        <is>
          <t>33</t>
        </is>
      </c>
      <c r="Q362" s="10" t="n">
        <v>18.8</v>
      </c>
      <c r="R362" s="4" t="n">
        <v>7</v>
      </c>
      <c r="S362" s="10" t="n">
        <v>15.8</v>
      </c>
      <c r="T362" s="7" t="n">
        <v>5000</v>
      </c>
      <c r="U362" s="11" t="inlineStr">
        <is>
          <t>9.0/10</t>
        </is>
      </c>
      <c r="V362" s="12" t="inlineStr">
        <is>
          <t xml:space="preserve"> • Superb real-world fuel economy
 • Smooth electric-gas power handover
 • No range anxiety on long trips</t>
        </is>
      </c>
      <c r="W362" s="13" t="inlineStr">
        <is>
          <t xml:space="preserve"> • Added curb weight from battery packs
 • Slightly compromised cargo space
 • eCVT engine flare during passing</t>
        </is>
      </c>
      <c r="X362" s="14" t="inlineStr">
        <is>
          <t>A finely engineered phev 3-row luxury suv striking the optimal balance between high efficiency and long-distance practicality.</t>
        </is>
      </c>
      <c r="Y362" s="15" t="inlineStr">
        <is>
          <t>https://hips.hearstapps.com/hmg-prod/images/2026-volvo-xc90.jpg</t>
        </is>
      </c>
      <c r="Z362" s="15" t="inlineStr">
        <is>
          <t>https://www.caranddriver.com/volvo/xc90</t>
        </is>
      </c>
      <c r="AA362" s="5" t="inlineStr">
        <is>
          <t>Car and Driver Buyer's Guide</t>
        </is>
      </c>
    </row>
    <row r="363" ht="48" customHeight="1">
      <c r="A363" s="16" t="n">
        <v>2026</v>
      </c>
      <c r="B363" s="17" t="inlineStr">
        <is>
          <t>Volvo</t>
        </is>
      </c>
      <c r="C363" s="17" t="inlineStr">
        <is>
          <t>V60</t>
        </is>
      </c>
      <c r="D363" s="17" t="inlineStr">
        <is>
          <t>Polestar Engineered Recharge</t>
        </is>
      </c>
      <c r="E363" s="17" t="inlineStr">
        <is>
          <t>Sport Luxury Wagon</t>
        </is>
      </c>
      <c r="F363" s="17" t="inlineStr">
        <is>
          <t>PHEV</t>
        </is>
      </c>
      <c r="G363" s="18" t="n">
        <v>72600</v>
      </c>
      <c r="H363" s="19" t="n">
        <v>455</v>
      </c>
      <c r="I363" s="19" t="n">
        <v>523</v>
      </c>
      <c r="J363" s="17" t="inlineStr">
        <is>
          <t>2.0L Turbo I4 + Motor</t>
        </is>
      </c>
      <c r="K363" s="20" t="n">
        <v>2</v>
      </c>
      <c r="L363" s="16" t="n">
        <v>4</v>
      </c>
      <c r="M363" s="17" t="inlineStr">
        <is>
          <t>8-Speed Auto</t>
        </is>
      </c>
      <c r="N363" s="16" t="inlineStr">
        <is>
          <t>eAWD</t>
        </is>
      </c>
      <c r="O363" s="16" t="inlineStr">
        <is>
          <t>74 MPGe / 31 Comb</t>
        </is>
      </c>
      <c r="P363" s="16" t="inlineStr">
        <is>
          <t>41</t>
        </is>
      </c>
      <c r="Q363" s="22" t="n">
        <v>18.8</v>
      </c>
      <c r="R363" s="16" t="n">
        <v>5</v>
      </c>
      <c r="S363" s="22" t="n">
        <v>23.2</v>
      </c>
      <c r="T363" s="16" t="inlineStr">
        <is>
          <t>N/A</t>
        </is>
      </c>
      <c r="U363" s="23" t="inlineStr">
        <is>
          <t>9.5/10</t>
        </is>
      </c>
      <c r="V363" s="24" t="inlineStr">
        <is>
          <t xml:space="preserve"> • Superb real-world fuel economy
 • Smooth electric-gas power handover
 • No range anxiety on long trips</t>
        </is>
      </c>
      <c r="W363" s="25" t="inlineStr">
        <is>
          <t xml:space="preserve"> • Added curb weight from battery packs
 • Slightly compromised cargo space
 • eCVT engine flare during passing</t>
        </is>
      </c>
      <c r="X363" s="26" t="inlineStr">
        <is>
          <t>A finely engineered phev sport luxury wagon striking the optimal balance between high efficiency and long-distance practicality.</t>
        </is>
      </c>
      <c r="Y363" s="27" t="inlineStr">
        <is>
          <t>https://hips.hearstapps.com/hmg-prod/images/2026-volvo-v60.jpg</t>
        </is>
      </c>
      <c r="Z363" s="27" t="inlineStr">
        <is>
          <t>https://www.caranddriver.com/volvo/v60-cross-country</t>
        </is>
      </c>
      <c r="AA363" s="17" t="inlineStr">
        <is>
          <t>Car and Driver Editors' Choice</t>
        </is>
      </c>
    </row>
    <row r="364" ht="48" customHeight="1">
      <c r="A364" s="4" t="n">
        <v>2026</v>
      </c>
      <c r="B364" s="5" t="inlineStr">
        <is>
          <t>Volvo</t>
        </is>
      </c>
      <c r="C364" s="5" t="inlineStr">
        <is>
          <t>EX90</t>
        </is>
      </c>
      <c r="D364" s="5" t="inlineStr">
        <is>
          <t>Twin Motor Ultra 7-Seat</t>
        </is>
      </c>
      <c r="E364" s="5" t="inlineStr">
        <is>
          <t>3-Row Luxury EV SUV</t>
        </is>
      </c>
      <c r="F364" s="5" t="inlineStr">
        <is>
          <t>Electric</t>
        </is>
      </c>
      <c r="G364" s="6" t="n">
        <v>87445</v>
      </c>
      <c r="H364" s="7" t="n">
        <v>402</v>
      </c>
      <c r="I364" s="7" t="n">
        <v>568</v>
      </c>
      <c r="J364" s="5" t="inlineStr">
        <is>
          <t>Dual Permanent Magnet Motors</t>
        </is>
      </c>
      <c r="K364" s="4" t="inlineStr">
        <is>
          <t>N/A</t>
        </is>
      </c>
      <c r="L364" s="4" t="n">
        <v>0</v>
      </c>
      <c r="M364" s="5" t="inlineStr">
        <is>
          <t>1-Speed Direct</t>
        </is>
      </c>
      <c r="N364" s="4" t="inlineStr">
        <is>
          <t>eAWD</t>
        </is>
      </c>
      <c r="O364" s="4" t="inlineStr">
        <is>
          <t>84 MPGe</t>
        </is>
      </c>
      <c r="P364" s="4" t="inlineStr">
        <is>
          <t>310</t>
        </is>
      </c>
      <c r="Q364" s="10" t="n">
        <v>111</v>
      </c>
      <c r="R364" s="4" t="n">
        <v>7</v>
      </c>
      <c r="S364" s="10" t="n">
        <v>10.9</v>
      </c>
      <c r="T364" s="7" t="n">
        <v>4850</v>
      </c>
      <c r="U364" s="11" t="inlineStr">
        <is>
          <t>9.0/10</t>
        </is>
      </c>
      <c r="V364" s="12" t="inlineStr">
        <is>
          <t xml:space="preserve"> • Silent, instantaneous acceleration
 • Low center of gravity enhances stability
 • Zero tailpipe emissions</t>
        </is>
      </c>
      <c r="W364" s="13" t="inlineStr">
        <is>
          <t xml:space="preserve"> • Highway range drops at sustained speed
 • Public charging network variability
 • Pricier initial purchase cost</t>
        </is>
      </c>
      <c r="X364" s="14" t="inlineStr">
        <is>
          <t>A compelling electric entry in the 3-row luxury ev suv segment offering smooth power delivery and advanced tech.</t>
        </is>
      </c>
      <c r="Y364" s="15" t="inlineStr">
        <is>
          <t>https://hips.hearstapps.com/hmg-prod/images/2026-volvo-ex90.jpg</t>
        </is>
      </c>
      <c r="Z364" s="15" t="inlineStr">
        <is>
          <t>https://www.caranddriver.com/volvo/ex90</t>
        </is>
      </c>
      <c r="AA364" s="5" t="inlineStr">
        <is>
          <t>Car and Driver First Drive</t>
        </is>
      </c>
    </row>
    <row r="365" ht="48" customHeight="1">
      <c r="A365" s="16" t="n">
        <v>2026</v>
      </c>
      <c r="B365" s="17" t="inlineStr">
        <is>
          <t>VinFast</t>
        </is>
      </c>
      <c r="C365" s="17" t="inlineStr">
        <is>
          <t>VF 8</t>
        </is>
      </c>
      <c r="D365" s="17" t="inlineStr">
        <is>
          <t>Plus Dual Motor AWD</t>
        </is>
      </c>
      <c r="E365" s="17" t="inlineStr">
        <is>
          <t>Mid-Size EV Crossover</t>
        </is>
      </c>
      <c r="F365" s="17" t="inlineStr">
        <is>
          <t>Electric</t>
        </is>
      </c>
      <c r="G365" s="18" t="n">
        <v>47000</v>
      </c>
      <c r="H365" s="19" t="n">
        <v>402</v>
      </c>
      <c r="I365" s="19" t="n">
        <v>457</v>
      </c>
      <c r="J365" s="17" t="inlineStr">
        <is>
          <t>Dual Electric Motors</t>
        </is>
      </c>
      <c r="K365" s="16" t="inlineStr">
        <is>
          <t>N/A</t>
        </is>
      </c>
      <c r="L365" s="16" t="n">
        <v>0</v>
      </c>
      <c r="M365" s="17" t="inlineStr">
        <is>
          <t>1-Speed Direct</t>
        </is>
      </c>
      <c r="N365" s="16" t="inlineStr">
        <is>
          <t>AWD</t>
        </is>
      </c>
      <c r="O365" s="16" t="inlineStr">
        <is>
          <t>80 MPGe</t>
        </is>
      </c>
      <c r="P365" s="16" t="inlineStr">
        <is>
          <t>264</t>
        </is>
      </c>
      <c r="Q365" s="22" t="n">
        <v>87.7</v>
      </c>
      <c r="R365" s="16" t="n">
        <v>5</v>
      </c>
      <c r="S365" s="22" t="n">
        <v>13.2</v>
      </c>
      <c r="T365" s="19" t="n">
        <v>1650</v>
      </c>
      <c r="U365" s="28" t="inlineStr">
        <is>
          <t>5.0/10</t>
        </is>
      </c>
      <c r="V365" s="24" t="inlineStr">
        <is>
          <t xml:space="preserve"> • Silent, instantaneous acceleration
 • Low center of gravity enhances stability
 • Zero tailpipe emissions</t>
        </is>
      </c>
      <c r="W365" s="25" t="inlineStr">
        <is>
          <t xml:space="preserve"> • Highway range drops at sustained speed
 • Public charging network variability
 • Pricier initial purchase cost</t>
        </is>
      </c>
      <c r="X365" s="26" t="inlineStr">
        <is>
          <t>A compelling electric entry in the mid-size ev crossover segment offering smooth power delivery and advanced tech.</t>
        </is>
      </c>
      <c r="Y365" s="27" t="inlineStr">
        <is>
          <t>https://hips.hearstapps.com/hmg-prod/images/2026-vinfast-vf-8.jpg</t>
        </is>
      </c>
      <c r="Z365" s="27" t="inlineStr">
        <is>
          <t>https://www.caranddriver.com/vinfast/vf-8</t>
        </is>
      </c>
      <c r="AA365" s="17" t="inlineStr">
        <is>
          <t>Car and Driver Review</t>
        </is>
      </c>
    </row>
    <row r="366" ht="48" customHeight="1">
      <c r="A366" s="4" t="n">
        <v>2026</v>
      </c>
      <c r="B366" s="5" t="inlineStr">
        <is>
          <t>VinFast</t>
        </is>
      </c>
      <c r="C366" s="5" t="inlineStr">
        <is>
          <t>VF 9</t>
        </is>
      </c>
      <c r="D366" s="5" t="inlineStr">
        <is>
          <t>Plus AWD 7-Passenger</t>
        </is>
      </c>
      <c r="E366" s="5" t="inlineStr">
        <is>
          <t>3-Row Electric SUV</t>
        </is>
      </c>
      <c r="F366" s="5" t="inlineStr">
        <is>
          <t>Electric</t>
        </is>
      </c>
      <c r="G366" s="6" t="n">
        <v>73000</v>
      </c>
      <c r="H366" s="7" t="n">
        <v>402</v>
      </c>
      <c r="I366" s="7" t="n">
        <v>457</v>
      </c>
      <c r="J366" s="5" t="inlineStr">
        <is>
          <t>Dual Electric Motors</t>
        </is>
      </c>
      <c r="K366" s="4" t="inlineStr">
        <is>
          <t>N/A</t>
        </is>
      </c>
      <c r="L366" s="4" t="n">
        <v>0</v>
      </c>
      <c r="M366" s="5" t="inlineStr">
        <is>
          <t>1-Speed Direct</t>
        </is>
      </c>
      <c r="N366" s="4" t="inlineStr">
        <is>
          <t>AWD</t>
        </is>
      </c>
      <c r="O366" s="4" t="inlineStr">
        <is>
          <t>75 MPGe</t>
        </is>
      </c>
      <c r="P366" s="4" t="inlineStr">
        <is>
          <t>291</t>
        </is>
      </c>
      <c r="Q366" s="10" t="n">
        <v>123</v>
      </c>
      <c r="R366" s="4" t="n">
        <v>7</v>
      </c>
      <c r="S366" s="10" t="n">
        <v>15.6</v>
      </c>
      <c r="T366" s="4" t="inlineStr">
        <is>
          <t>N/A</t>
        </is>
      </c>
      <c r="U366" s="11" t="inlineStr">
        <is>
          <t>6.0/10</t>
        </is>
      </c>
      <c r="V366" s="12" t="inlineStr">
        <is>
          <t xml:space="preserve"> • Silent, instantaneous acceleration
 • Low center of gravity enhances stability
 • Zero tailpipe emissions</t>
        </is>
      </c>
      <c r="W366" s="13" t="inlineStr">
        <is>
          <t xml:space="preserve"> • Highway range drops at sustained speed
 • Public charging network variability
 • Pricier initial purchase cost</t>
        </is>
      </c>
      <c r="X366" s="14" t="inlineStr">
        <is>
          <t>A compelling electric entry in the 3-row electric suv segment offering smooth power delivery and advanced tech.</t>
        </is>
      </c>
      <c r="Y366" s="15" t="inlineStr">
        <is>
          <t>https://hips.hearstapps.com/hmg-prod/images/2026-vinfast-vf-9.jpg</t>
        </is>
      </c>
      <c r="Z366" s="15" t="inlineStr">
        <is>
          <t>https://www.caranddriver.com/vinfast/vf-9</t>
        </is>
      </c>
      <c r="AA366" s="5" t="inlineStr">
        <is>
          <t>Car and Driver Buyer's Guide</t>
        </is>
      </c>
    </row>
    <row r="367" ht="48" customHeight="1">
      <c r="A367" s="16" t="n">
        <v>2026</v>
      </c>
      <c r="B367" s="17" t="inlineStr">
        <is>
          <t>Genesis</t>
        </is>
      </c>
      <c r="C367" s="17" t="inlineStr">
        <is>
          <t>G80</t>
        </is>
      </c>
      <c r="D367" s="17" t="inlineStr">
        <is>
          <t>2.5T Advanced AWD</t>
        </is>
      </c>
      <c r="E367" s="17" t="inlineStr">
        <is>
          <t>Executive Luxury Sedan</t>
        </is>
      </c>
      <c r="F367" s="17" t="inlineStr">
        <is>
          <t>Gasoline</t>
        </is>
      </c>
      <c r="G367" s="18" t="n">
        <v>60500</v>
      </c>
      <c r="H367" s="19" t="n">
        <v>300</v>
      </c>
      <c r="I367" s="19" t="n">
        <v>311</v>
      </c>
      <c r="J367" s="17" t="inlineStr">
        <is>
          <t>2.5L Turbo I4</t>
        </is>
      </c>
      <c r="K367" s="20" t="n">
        <v>2.5</v>
      </c>
      <c r="L367" s="16" t="n">
        <v>4</v>
      </c>
      <c r="M367" s="17" t="inlineStr">
        <is>
          <t>8-Speed Auto</t>
        </is>
      </c>
      <c r="N367" s="16" t="inlineStr">
        <is>
          <t>AWD</t>
        </is>
      </c>
      <c r="O367" s="16" t="inlineStr">
        <is>
          <t>25 (22/30)</t>
        </is>
      </c>
      <c r="P367" s="16" t="inlineStr">
        <is>
          <t>N/A</t>
        </is>
      </c>
      <c r="Q367" s="21" t="inlineStr">
        <is>
          <t>N/A</t>
        </is>
      </c>
      <c r="R367" s="16" t="n">
        <v>5</v>
      </c>
      <c r="S367" s="22" t="n">
        <v>13.1</v>
      </c>
      <c r="T367" s="16" t="inlineStr">
        <is>
          <t>N/A</t>
        </is>
      </c>
      <c r="U367" s="28" t="inlineStr">
        <is>
          <t>9.0/10</t>
        </is>
      </c>
      <c r="V367" s="24" t="inlineStr">
        <is>
          <t xml:space="preserve"> • Sharper handling dynamics than taller SUVs
 • Superior highway fuel economy
 • Easy maneuvering in urban spaces</t>
        </is>
      </c>
      <c r="W367" s="25" t="inlineStr">
        <is>
          <t xml:space="preserve"> • Less cargo flexibility than crossovers
 • Lower seating hip point for ingress
 • Fewer AWD options</t>
        </is>
      </c>
      <c r="X367" s="26" t="inlineStr">
        <is>
          <t>A well-proportioned executive luxury sedan offering superior driving manners and efficiency over conventional crossovers.</t>
        </is>
      </c>
      <c r="Y367" s="27" t="inlineStr">
        <is>
          <t>https://hips.hearstapps.com/hmg-prod/images/2026-genesis-g80.jpg</t>
        </is>
      </c>
      <c r="Z367" s="27" t="inlineStr">
        <is>
          <t>https://www.caranddriver.com/genesis/g80</t>
        </is>
      </c>
      <c r="AA367" s="17" t="inlineStr">
        <is>
          <t>Car and Driver Editors' Choice</t>
        </is>
      </c>
    </row>
    <row r="368" ht="48" customHeight="1">
      <c r="A368" s="4" t="n">
        <v>2026</v>
      </c>
      <c r="B368" s="5" t="inlineStr">
        <is>
          <t>Genesis</t>
        </is>
      </c>
      <c r="C368" s="5" t="inlineStr">
        <is>
          <t>GV70</t>
        </is>
      </c>
      <c r="D368" s="5" t="inlineStr">
        <is>
          <t>2.5T Select AWD</t>
        </is>
      </c>
      <c r="E368" s="5" t="inlineStr">
        <is>
          <t>Compact Luxury SUV</t>
        </is>
      </c>
      <c r="F368" s="5" t="inlineStr">
        <is>
          <t>Gasoline</t>
        </is>
      </c>
      <c r="G368" s="6" t="n">
        <v>48500</v>
      </c>
      <c r="H368" s="7" t="n">
        <v>300</v>
      </c>
      <c r="I368" s="7" t="n">
        <v>311</v>
      </c>
      <c r="J368" s="5" t="inlineStr">
        <is>
          <t>2.5L Turbo I4</t>
        </is>
      </c>
      <c r="K368" s="8" t="n">
        <v>2.5</v>
      </c>
      <c r="L368" s="4" t="n">
        <v>4</v>
      </c>
      <c r="M368" s="5" t="inlineStr">
        <is>
          <t>8-Speed Auto</t>
        </is>
      </c>
      <c r="N368" s="4" t="inlineStr">
        <is>
          <t>AWD</t>
        </is>
      </c>
      <c r="O368" s="4" t="inlineStr">
        <is>
          <t>24 (22/28)</t>
        </is>
      </c>
      <c r="P368" s="4" t="inlineStr">
        <is>
          <t>N/A</t>
        </is>
      </c>
      <c r="Q368" s="9" t="inlineStr">
        <is>
          <t>N/A</t>
        </is>
      </c>
      <c r="R368" s="4" t="n">
        <v>5</v>
      </c>
      <c r="S368" s="10" t="n">
        <v>28.9</v>
      </c>
      <c r="T368" s="7" t="n">
        <v>3500</v>
      </c>
      <c r="U368" s="29" t="inlineStr">
        <is>
          <t>9.5/10</t>
        </is>
      </c>
      <c r="V368" s="12" t="inlineStr">
        <is>
          <t xml:space="preserve"> • Spacious passenger and cargo room
 • Commanding elevated driving position
 • Confidence-inspiring all-weather grip</t>
        </is>
      </c>
      <c r="W368" s="13" t="inlineStr">
        <is>
          <t xml:space="preserve"> • Higher center of gravity than sedans
 • Fuel consumption under heavy load
 • Less engaging steering feel</t>
        </is>
      </c>
      <c r="X368" s="14" t="inlineStr">
        <is>
          <t>A highly versatile compact luxury suv that delivers generous space, modern safety tech, and daily utility.</t>
        </is>
      </c>
      <c r="Y368" s="15" t="inlineStr">
        <is>
          <t>https://hips.hearstapps.com/hmg-prod/images/2026-genesis-gv70.jpg</t>
        </is>
      </c>
      <c r="Z368" s="15" t="inlineStr">
        <is>
          <t>https://www.caranddriver.com/genesis/gv70</t>
        </is>
      </c>
      <c r="AA368" s="5" t="inlineStr">
        <is>
          <t>Car and Driver 10Best</t>
        </is>
      </c>
    </row>
    <row r="369" ht="48" customHeight="1">
      <c r="A369" s="16" t="n">
        <v>2026</v>
      </c>
      <c r="B369" s="17" t="inlineStr">
        <is>
          <t>Genesis</t>
        </is>
      </c>
      <c r="C369" s="17" t="inlineStr">
        <is>
          <t>GV80</t>
        </is>
      </c>
      <c r="D369" s="17" t="inlineStr">
        <is>
          <t>2.5T Standard AWD</t>
        </is>
      </c>
      <c r="E369" s="17" t="inlineStr">
        <is>
          <t>Mid-Size Luxury SUV</t>
        </is>
      </c>
      <c r="F369" s="17" t="inlineStr">
        <is>
          <t>Gasoline</t>
        </is>
      </c>
      <c r="G369" s="18" t="n">
        <v>59000</v>
      </c>
      <c r="H369" s="19" t="n">
        <v>300</v>
      </c>
      <c r="I369" s="19" t="n">
        <v>311</v>
      </c>
      <c r="J369" s="17" t="inlineStr">
        <is>
          <t>2.5L Turbo I4</t>
        </is>
      </c>
      <c r="K369" s="20" t="n">
        <v>2.5</v>
      </c>
      <c r="L369" s="16" t="n">
        <v>4</v>
      </c>
      <c r="M369" s="17" t="inlineStr">
        <is>
          <t>8-Speed Auto</t>
        </is>
      </c>
      <c r="N369" s="16" t="inlineStr">
        <is>
          <t>AWD</t>
        </is>
      </c>
      <c r="O369" s="16" t="inlineStr">
        <is>
          <t>22 (20/24)</t>
        </is>
      </c>
      <c r="P369" s="16" t="inlineStr">
        <is>
          <t>N/A</t>
        </is>
      </c>
      <c r="Q369" s="21" t="inlineStr">
        <is>
          <t>N/A</t>
        </is>
      </c>
      <c r="R369" s="16" t="n">
        <v>5</v>
      </c>
      <c r="S369" s="22" t="n">
        <v>34.9</v>
      </c>
      <c r="T369" s="19" t="n">
        <v>6000</v>
      </c>
      <c r="U369" s="28" t="inlineStr">
        <is>
          <t>9.0/10</t>
        </is>
      </c>
      <c r="V369" s="24" t="inlineStr">
        <is>
          <t xml:space="preserve"> • Spacious passenger and cargo room
 • Commanding elevated driving position
 • Confidence-inspiring all-weather grip</t>
        </is>
      </c>
      <c r="W369" s="25" t="inlineStr">
        <is>
          <t xml:space="preserve"> • Higher center of gravity than sedans
 • Fuel consumption under heavy load
 • Less engaging steering feel</t>
        </is>
      </c>
      <c r="X369" s="26" t="inlineStr">
        <is>
          <t>A highly versatile mid-size luxury suv that delivers generous space, modern safety tech, and daily utility.</t>
        </is>
      </c>
      <c r="Y369" s="27" t="inlineStr">
        <is>
          <t>https://hips.hearstapps.com/hmg-prod/images/2026-genesis-gv80.jpg</t>
        </is>
      </c>
      <c r="Z369" s="27" t="inlineStr">
        <is>
          <t>https://www.caranddriver.com/genesis/gv80</t>
        </is>
      </c>
      <c r="AA369" s="17" t="inlineStr">
        <is>
          <t>Car and Driver Editors' Choice</t>
        </is>
      </c>
    </row>
    <row r="370" ht="48" customHeight="1">
      <c r="A370" s="4" t="n">
        <v>2026</v>
      </c>
      <c r="B370" s="5" t="inlineStr">
        <is>
          <t>Ford</t>
        </is>
      </c>
      <c r="C370" s="5" t="inlineStr">
        <is>
          <t>F-150</t>
        </is>
      </c>
      <c r="D370" s="5" t="inlineStr">
        <is>
          <t>Platinum 4x4 PowerBoost</t>
        </is>
      </c>
      <c r="E370" s="5" t="inlineStr">
        <is>
          <t>Full-Size Luxury Hybrid Pickup</t>
        </is>
      </c>
      <c r="F370" s="5" t="inlineStr">
        <is>
          <t>Gas-Electric Hybrid</t>
        </is>
      </c>
      <c r="G370" s="6" t="n">
        <v>74000</v>
      </c>
      <c r="H370" s="7" t="n">
        <v>430</v>
      </c>
      <c r="I370" s="7" t="n">
        <v>570</v>
      </c>
      <c r="J370" s="5" t="inlineStr">
        <is>
          <t>3.5L EcoBoost V6 Hybrid</t>
        </is>
      </c>
      <c r="K370" s="8" t="n">
        <v>3.5</v>
      </c>
      <c r="L370" s="4" t="n">
        <v>6</v>
      </c>
      <c r="M370" s="5" t="inlineStr">
        <is>
          <t>10-Speed Auto</t>
        </is>
      </c>
      <c r="N370" s="4" t="inlineStr">
        <is>
          <t>4WD</t>
        </is>
      </c>
      <c r="O370" s="4" t="inlineStr">
        <is>
          <t>23 (23/24)</t>
        </is>
      </c>
      <c r="P370" s="4" t="inlineStr">
        <is>
          <t>N/A</t>
        </is>
      </c>
      <c r="Q370" s="10" t="n">
        <v>1.5</v>
      </c>
      <c r="R370" s="4" t="n">
        <v>5</v>
      </c>
      <c r="S370" s="10" t="n">
        <v>52.8</v>
      </c>
      <c r="T370" s="7" t="n">
        <v>12000</v>
      </c>
      <c r="U370" s="11" t="inlineStr">
        <is>
          <t>9.0/10</t>
        </is>
      </c>
      <c r="V370" s="12" t="inlineStr">
        <is>
          <t xml:space="preserve"> • Massive instant electric torque
 • Innovative front frunk storage
 • Vehicle-to-home export power</t>
        </is>
      </c>
      <c r="W370" s="13" t="inlineStr">
        <is>
          <t xml:space="preserve"> • Significant range reduction while towing
 • DC fast-charging infrastructure bottlenecks
 • Heavy curb weight</t>
        </is>
      </c>
      <c r="X370" s="14" t="inlineStr">
        <is>
          <t>Revolutionary electric utility that transforms work sites and family travel when towing demands are modest.</t>
        </is>
      </c>
      <c r="Y370" s="15" t="inlineStr">
        <is>
          <t>https://hips.hearstapps.com/hmg-prod/images/2026-ford-f-150.jpg</t>
        </is>
      </c>
      <c r="Z370" s="15" t="inlineStr">
        <is>
          <t>https://www.caranddriver.com/ford/f-150</t>
        </is>
      </c>
      <c r="AA370" s="5" t="inlineStr">
        <is>
          <t>Car and Driver Buyer's Guide</t>
        </is>
      </c>
    </row>
    <row r="371" ht="48" customHeight="1">
      <c r="A371" s="16" t="n">
        <v>2026</v>
      </c>
      <c r="B371" s="17" t="inlineStr">
        <is>
          <t>Ford</t>
        </is>
      </c>
      <c r="C371" s="17" t="inlineStr">
        <is>
          <t>F-150</t>
        </is>
      </c>
      <c r="D371" s="17" t="inlineStr">
        <is>
          <t>STX SuperCab 4x4</t>
        </is>
      </c>
      <c r="E371" s="17" t="inlineStr">
        <is>
          <t>Full-Size Work/Sport Pickup</t>
        </is>
      </c>
      <c r="F371" s="17" t="inlineStr">
        <is>
          <t>Gasoline</t>
        </is>
      </c>
      <c r="G371" s="18" t="n">
        <v>44000</v>
      </c>
      <c r="H371" s="19" t="n">
        <v>325</v>
      </c>
      <c r="I371" s="19" t="n">
        <v>400</v>
      </c>
      <c r="J371" s="17" t="inlineStr">
        <is>
          <t>2.7L EcoBoost Twin-Turbo V6</t>
        </is>
      </c>
      <c r="K371" s="20" t="n">
        <v>2.7</v>
      </c>
      <c r="L371" s="16" t="n">
        <v>6</v>
      </c>
      <c r="M371" s="17" t="inlineStr">
        <is>
          <t>10-Speed Auto</t>
        </is>
      </c>
      <c r="N371" s="16" t="inlineStr">
        <is>
          <t>4WD</t>
        </is>
      </c>
      <c r="O371" s="16" t="inlineStr">
        <is>
          <t>20 (18/24)</t>
        </is>
      </c>
      <c r="P371" s="16" t="inlineStr">
        <is>
          <t>N/A</t>
        </is>
      </c>
      <c r="Q371" s="21" t="inlineStr">
        <is>
          <t>N/A</t>
        </is>
      </c>
      <c r="R371" s="16" t="n">
        <v>6</v>
      </c>
      <c r="S371" s="22" t="n">
        <v>62</v>
      </c>
      <c r="T371" s="19" t="n">
        <v>8400</v>
      </c>
      <c r="U371" s="28" t="inlineStr">
        <is>
          <t>8.5/10</t>
        </is>
      </c>
      <c r="V371" s="24" t="inlineStr">
        <is>
          <t xml:space="preserve"> • Class-leading towing and hauling brawn
 • Palatial crew cab seating and storage
 • Intuitive cabin switchgear</t>
        </is>
      </c>
      <c r="W371" s="25" t="inlineStr">
        <is>
          <t xml:space="preserve"> • Large exterior dimensions in tight parking
 • Thirsty when loaded
 • Top trims push into luxury car pricing</t>
        </is>
      </c>
      <c r="X371" s="26" t="inlineStr">
        <is>
          <t>The backbone of American transportation, offering effortless hauling capability and luxury cabin appointments.</t>
        </is>
      </c>
      <c r="Y371" s="27" t="inlineStr">
        <is>
          <t>https://hips.hearstapps.com/hmg-prod/images/2026-ford-f-150.jpg</t>
        </is>
      </c>
      <c r="Z371" s="27" t="inlineStr">
        <is>
          <t>https://www.caranddriver.com/ford/f-150</t>
        </is>
      </c>
      <c r="AA371" s="17" t="inlineStr">
        <is>
          <t>Car and Driver Buyer's Guide</t>
        </is>
      </c>
    </row>
    <row r="372" ht="48" customHeight="1">
      <c r="A372" s="4" t="n">
        <v>2026</v>
      </c>
      <c r="B372" s="5" t="inlineStr">
        <is>
          <t>Ford</t>
        </is>
      </c>
      <c r="C372" s="5" t="inlineStr">
        <is>
          <t>Super Duty F-350</t>
        </is>
      </c>
      <c r="D372" s="5" t="inlineStr">
        <is>
          <t>Lariat Dually 4x4</t>
        </is>
      </c>
      <c r="E372" s="5" t="inlineStr">
        <is>
          <t>Heavy-Duty Dual-Rear-Wheel Truck</t>
        </is>
      </c>
      <c r="F372" s="5" t="inlineStr">
        <is>
          <t>Gasoline</t>
        </is>
      </c>
      <c r="G372" s="6" t="n">
        <v>82000</v>
      </c>
      <c r="H372" s="7" t="n">
        <v>475</v>
      </c>
      <c r="I372" s="7" t="n">
        <v>1050</v>
      </c>
      <c r="J372" s="5" t="inlineStr">
        <is>
          <t>6.7L Power Stroke Turbo-Diesel V8</t>
        </is>
      </c>
      <c r="K372" s="8" t="n">
        <v>6.7</v>
      </c>
      <c r="L372" s="4" t="n">
        <v>8</v>
      </c>
      <c r="M372" s="5" t="inlineStr">
        <is>
          <t>10-Speed Auto</t>
        </is>
      </c>
      <c r="N372" s="4" t="inlineStr">
        <is>
          <t>4WD</t>
        </is>
      </c>
      <c r="O372" s="4" t="inlineStr">
        <is>
          <t>13 (Est)</t>
        </is>
      </c>
      <c r="P372" s="4" t="inlineStr">
        <is>
          <t>N/A</t>
        </is>
      </c>
      <c r="Q372" s="9" t="inlineStr">
        <is>
          <t>N/A</t>
        </is>
      </c>
      <c r="R372" s="4" t="n">
        <v>5</v>
      </c>
      <c r="S372" s="10" t="n">
        <v>78.5</v>
      </c>
      <c r="T372" s="7" t="n">
        <v>32000</v>
      </c>
      <c r="U372" s="11" t="inlineStr">
        <is>
          <t>9.0/10</t>
        </is>
      </c>
      <c r="V372" s="12" t="inlineStr">
        <is>
          <t xml:space="preserve"> • Robust payload and towing capabilities
 • Durable bed and tailgate features
 • High ground clearance</t>
        </is>
      </c>
      <c r="W372" s="13" t="inlineStr">
        <is>
          <t xml:space="preserve"> • Stiffer unladen ride quality
 • Challenging to park in urban garages
 • Higher fuel costs</t>
        </is>
      </c>
      <c r="X372" s="14" t="inlineStr">
        <is>
          <t>A capable and rugged heavy-duty dual-rear-wheel truck designed for serious work duty, hauling, and outdoor recreation.</t>
        </is>
      </c>
      <c r="Y372" s="15" t="inlineStr">
        <is>
          <t>https://hips.hearstapps.com/hmg-prod/images/2026-ford-super-duty-f-350.jpg</t>
        </is>
      </c>
      <c r="Z372" s="15" t="inlineStr">
        <is>
          <t>https://www.caranddriver.com/ford/f-350-super-duty</t>
        </is>
      </c>
      <c r="AA372" s="5" t="inlineStr">
        <is>
          <t>Car and Driver Buyer's Guide</t>
        </is>
      </c>
    </row>
    <row r="373" ht="48" customHeight="1">
      <c r="A373" s="16" t="n">
        <v>2026</v>
      </c>
      <c r="B373" s="17" t="inlineStr">
        <is>
          <t>Ford</t>
        </is>
      </c>
      <c r="C373" s="17" t="inlineStr">
        <is>
          <t>Mustang</t>
        </is>
      </c>
      <c r="D373" s="17" t="inlineStr">
        <is>
          <t>EcoBoost Fastback Base</t>
        </is>
      </c>
      <c r="E373" s="17" t="inlineStr">
        <is>
          <t>Entry Sport Coupe</t>
        </is>
      </c>
      <c r="F373" s="17" t="inlineStr">
        <is>
          <t>Gasoline</t>
        </is>
      </c>
      <c r="G373" s="18" t="n">
        <v>32515</v>
      </c>
      <c r="H373" s="19" t="n">
        <v>315</v>
      </c>
      <c r="I373" s="19" t="n">
        <v>350</v>
      </c>
      <c r="J373" s="17" t="inlineStr">
        <is>
          <t>2.3L EcoBoost Turbo I4</t>
        </is>
      </c>
      <c r="K373" s="20" t="n">
        <v>2.3</v>
      </c>
      <c r="L373" s="16" t="n">
        <v>4</v>
      </c>
      <c r="M373" s="17" t="inlineStr">
        <is>
          <t>10-Speed Auto</t>
        </is>
      </c>
      <c r="N373" s="16" t="inlineStr">
        <is>
          <t>RWD</t>
        </is>
      </c>
      <c r="O373" s="16" t="inlineStr">
        <is>
          <t>26 (22/33)</t>
        </is>
      </c>
      <c r="P373" s="16" t="inlineStr">
        <is>
          <t>N/A</t>
        </is>
      </c>
      <c r="Q373" s="21" t="inlineStr">
        <is>
          <t>N/A</t>
        </is>
      </c>
      <c r="R373" s="16" t="n">
        <v>4</v>
      </c>
      <c r="S373" s="22" t="n">
        <v>13.3</v>
      </c>
      <c r="T373" s="16" t="inlineStr">
        <is>
          <t>N/A</t>
        </is>
      </c>
      <c r="U373" s="28" t="inlineStr">
        <is>
          <t>8.5/10</t>
        </is>
      </c>
      <c r="V373" s="24" t="inlineStr">
        <is>
          <t xml:space="preserve"> • Refined performance and chassis poise
 • Comfortable ergonomic cabin
 • Comprehensive safety suite</t>
        </is>
      </c>
      <c r="W373" s="25" t="inlineStr">
        <is>
          <t xml:space="preserve"> • Firm ride on optional large wheels
 • Option packages add up quickly
 • Infotainment learning curve</t>
        </is>
      </c>
      <c r="X373" s="26" t="inlineStr">
        <is>
          <t>A solid, well-rounded contender in the US entry sport coupe class with competitive dynamics.</t>
        </is>
      </c>
      <c r="Y373" s="27" t="inlineStr">
        <is>
          <t>https://hips.hearstapps.com/hmg-prod/images/2026-ford-mustang.jpg</t>
        </is>
      </c>
      <c r="Z373" s="27" t="inlineStr">
        <is>
          <t>https://www.caranddriver.com/ford/mustang</t>
        </is>
      </c>
      <c r="AA373" s="17" t="inlineStr">
        <is>
          <t>Car and Driver Buyer's Guide</t>
        </is>
      </c>
    </row>
    <row r="374" ht="48" customHeight="1">
      <c r="A374" s="4" t="n">
        <v>2026</v>
      </c>
      <c r="B374" s="5" t="inlineStr">
        <is>
          <t>Ford</t>
        </is>
      </c>
      <c r="C374" s="5" t="inlineStr">
        <is>
          <t>Mustang</t>
        </is>
      </c>
      <c r="D374" s="5" t="inlineStr">
        <is>
          <t>GT Convertible</t>
        </is>
      </c>
      <c r="E374" s="5" t="inlineStr">
        <is>
          <t>V8 Convertible Muscle Car</t>
        </is>
      </c>
      <c r="F374" s="5" t="inlineStr">
        <is>
          <t>Gasoline</t>
        </is>
      </c>
      <c r="G374" s="6" t="n">
        <v>54000</v>
      </c>
      <c r="H374" s="7" t="n">
        <v>486</v>
      </c>
      <c r="I374" s="7" t="n">
        <v>418</v>
      </c>
      <c r="J374" s="5" t="inlineStr">
        <is>
          <t>5.0L Coyote V8</t>
        </is>
      </c>
      <c r="K374" s="8" t="n">
        <v>5</v>
      </c>
      <c r="L374" s="4" t="n">
        <v>8</v>
      </c>
      <c r="M374" s="5" t="inlineStr">
        <is>
          <t>10-Speed Auto</t>
        </is>
      </c>
      <c r="N374" s="4" t="inlineStr">
        <is>
          <t>RWD</t>
        </is>
      </c>
      <c r="O374" s="4" t="inlineStr">
        <is>
          <t>18 (15/23)</t>
        </is>
      </c>
      <c r="P374" s="4" t="inlineStr">
        <is>
          <t>N/A</t>
        </is>
      </c>
      <c r="Q374" s="9" t="inlineStr">
        <is>
          <t>N/A</t>
        </is>
      </c>
      <c r="R374" s="4" t="n">
        <v>4</v>
      </c>
      <c r="S374" s="10" t="n">
        <v>11.4</v>
      </c>
      <c r="T374" s="4" t="inlineStr">
        <is>
          <t>N/A</t>
        </is>
      </c>
      <c r="U374" s="11" t="inlineStr">
        <is>
          <t>9.0/10</t>
        </is>
      </c>
      <c r="V374" s="12" t="inlineStr">
        <is>
          <t xml:space="preserve"> • Refined performance and chassis poise
 • Comfortable ergonomic cabin
 • Comprehensive safety suite</t>
        </is>
      </c>
      <c r="W374" s="13" t="inlineStr">
        <is>
          <t xml:space="preserve"> • Firm ride on optional large wheels
 • Option packages add up quickly
 • Infotainment learning curve</t>
        </is>
      </c>
      <c r="X374" s="14" t="inlineStr">
        <is>
          <t>A solid, well-rounded contender in the US v8 convertible muscle car class with competitive dynamics.</t>
        </is>
      </c>
      <c r="Y374" s="15" t="inlineStr">
        <is>
          <t>https://hips.hearstapps.com/hmg-prod/images/2026-ford-mustang.jpg</t>
        </is>
      </c>
      <c r="Z374" s="15" t="inlineStr">
        <is>
          <t>https://www.caranddriver.com/ford/mustang</t>
        </is>
      </c>
      <c r="AA374" s="5" t="inlineStr">
        <is>
          <t>Car and Driver Editors' Choice</t>
        </is>
      </c>
    </row>
    <row r="375" ht="48" customHeight="1">
      <c r="A375" s="16" t="n">
        <v>2026</v>
      </c>
      <c r="B375" s="17" t="inlineStr">
        <is>
          <t>Ford</t>
        </is>
      </c>
      <c r="C375" s="17" t="inlineStr">
        <is>
          <t>Bronco</t>
        </is>
      </c>
      <c r="D375" s="17" t="inlineStr">
        <is>
          <t>Heritage Edition 2-Door</t>
        </is>
      </c>
      <c r="E375" s="17" t="inlineStr">
        <is>
          <t>Retro 4x4 Off-Roader</t>
        </is>
      </c>
      <c r="F375" s="17" t="inlineStr">
        <is>
          <t>Gasoline</t>
        </is>
      </c>
      <c r="G375" s="18" t="n">
        <v>48000</v>
      </c>
      <c r="H375" s="19" t="n">
        <v>300</v>
      </c>
      <c r="I375" s="19" t="n">
        <v>325</v>
      </c>
      <c r="J375" s="17" t="inlineStr">
        <is>
          <t>2.3L EcoBoost Turbo I4</t>
        </is>
      </c>
      <c r="K375" s="20" t="n">
        <v>2.3</v>
      </c>
      <c r="L375" s="16" t="n">
        <v>4</v>
      </c>
      <c r="M375" s="17" t="inlineStr">
        <is>
          <t>7-Speed Manual (Crawler Gear)</t>
        </is>
      </c>
      <c r="N375" s="16" t="inlineStr">
        <is>
          <t>4WD</t>
        </is>
      </c>
      <c r="O375" s="16" t="inlineStr">
        <is>
          <t>17 (16/18)</t>
        </is>
      </c>
      <c r="P375" s="16" t="inlineStr">
        <is>
          <t>N/A</t>
        </is>
      </c>
      <c r="Q375" s="21" t="inlineStr">
        <is>
          <t>N/A</t>
        </is>
      </c>
      <c r="R375" s="16" t="n">
        <v>4</v>
      </c>
      <c r="S375" s="22" t="n">
        <v>22.4</v>
      </c>
      <c r="T375" s="19" t="n">
        <v>3500</v>
      </c>
      <c r="U375" s="28" t="inlineStr">
        <is>
          <t>9.0/10</t>
        </is>
      </c>
      <c r="V375" s="24" t="inlineStr">
        <is>
          <t xml:space="preserve"> • Removable doors and roof for open-air freedom
 • Unstoppable off-road rock crawl ability
 • High residual values</t>
        </is>
      </c>
      <c r="W375" s="25" t="inlineStr">
        <is>
          <t xml:space="preserve"> • Elevated highway wind and tire roar
 • Vague on-center steering wander
 • Choppy ride quality</t>
        </is>
      </c>
      <c r="X375" s="26" t="inlineStr">
        <is>
          <t>Iconic American adventure icons engineered to tackle trails where other vehicles fear to tread.</t>
        </is>
      </c>
      <c r="Y375" s="27" t="inlineStr">
        <is>
          <t>https://hips.hearstapps.com/hmg-prod/images/2026-ford-bronco.jpg</t>
        </is>
      </c>
      <c r="Z375" s="27" t="inlineStr">
        <is>
          <t>https://www.caranddriver.com/ford/bronco</t>
        </is>
      </c>
      <c r="AA375" s="17" t="inlineStr">
        <is>
          <t>Car and Driver 10Best</t>
        </is>
      </c>
    </row>
    <row r="376" ht="48" customHeight="1">
      <c r="A376" s="4" t="n">
        <v>2026</v>
      </c>
      <c r="B376" s="5" t="inlineStr">
        <is>
          <t>Ford</t>
        </is>
      </c>
      <c r="C376" s="5" t="inlineStr">
        <is>
          <t>Edge</t>
        </is>
      </c>
      <c r="D376" s="5" t="inlineStr">
        <is>
          <t>ST AWD</t>
        </is>
      </c>
      <c r="E376" s="5" t="inlineStr">
        <is>
          <t>Mid-Size Sport Crossover</t>
        </is>
      </c>
      <c r="F376" s="5" t="inlineStr">
        <is>
          <t>Gasoline</t>
        </is>
      </c>
      <c r="G376" s="6" t="n">
        <v>47500</v>
      </c>
      <c r="H376" s="7" t="n">
        <v>335</v>
      </c>
      <c r="I376" s="7" t="n">
        <v>380</v>
      </c>
      <c r="J376" s="5" t="inlineStr">
        <is>
          <t>2.7L EcoBoost Twin-Turbo V6</t>
        </is>
      </c>
      <c r="K376" s="8" t="n">
        <v>2.7</v>
      </c>
      <c r="L376" s="4" t="n">
        <v>6</v>
      </c>
      <c r="M376" s="5" t="inlineStr">
        <is>
          <t>7-Speed Auto</t>
        </is>
      </c>
      <c r="N376" s="4" t="inlineStr">
        <is>
          <t>AWD</t>
        </is>
      </c>
      <c r="O376" s="4" t="inlineStr">
        <is>
          <t>21 (19/25)</t>
        </is>
      </c>
      <c r="P376" s="4" t="inlineStr">
        <is>
          <t>N/A</t>
        </is>
      </c>
      <c r="Q376" s="9" t="inlineStr">
        <is>
          <t>N/A</t>
        </is>
      </c>
      <c r="R376" s="4" t="n">
        <v>5</v>
      </c>
      <c r="S376" s="10" t="n">
        <v>39.2</v>
      </c>
      <c r="T376" s="7" t="n">
        <v>3500</v>
      </c>
      <c r="U376" s="11" t="inlineStr">
        <is>
          <t>7.5/10</t>
        </is>
      </c>
      <c r="V376" s="12" t="inlineStr">
        <is>
          <t xml:space="preserve"> • Spacious passenger and cargo room
 • Commanding elevated driving position
 • Confidence-inspiring all-weather grip</t>
        </is>
      </c>
      <c r="W376" s="13" t="inlineStr">
        <is>
          <t xml:space="preserve"> • Higher center of gravity than sedans
 • Fuel consumption under heavy load
 • Less engaging steering feel</t>
        </is>
      </c>
      <c r="X376" s="14" t="inlineStr">
        <is>
          <t>A highly versatile mid-size sport crossover that delivers generous space, modern safety tech, and daily utility.</t>
        </is>
      </c>
      <c r="Y376" s="15" t="inlineStr">
        <is>
          <t>https://hips.hearstapps.com/hmg-prod/images/2026-ford-edge.jpg</t>
        </is>
      </c>
      <c r="Z376" s="15" t="inlineStr">
        <is>
          <t>https://www.caranddriver.com/ford/edge</t>
        </is>
      </c>
      <c r="AA376" s="5" t="inlineStr">
        <is>
          <t>Car and Driver Buyer's Guide</t>
        </is>
      </c>
    </row>
    <row r="377" ht="48" customHeight="1">
      <c r="A377" s="16" t="n">
        <v>2026</v>
      </c>
      <c r="B377" s="17" t="inlineStr">
        <is>
          <t>Ford</t>
        </is>
      </c>
      <c r="C377" s="17" t="inlineStr">
        <is>
          <t>Transit</t>
        </is>
      </c>
      <c r="D377" s="17" t="inlineStr">
        <is>
          <t>Passenger Van XLT 350</t>
        </is>
      </c>
      <c r="E377" s="17" t="inlineStr">
        <is>
          <t>Full-Size Passenger Van</t>
        </is>
      </c>
      <c r="F377" s="17" t="inlineStr">
        <is>
          <t>Gasoline</t>
        </is>
      </c>
      <c r="G377" s="18" t="n">
        <v>57000</v>
      </c>
      <c r="H377" s="19" t="n">
        <v>310</v>
      </c>
      <c r="I377" s="19" t="n">
        <v>400</v>
      </c>
      <c r="J377" s="17" t="inlineStr">
        <is>
          <t>3.5L EcoBoost Twin-Turbo V6</t>
        </is>
      </c>
      <c r="K377" s="20" t="n">
        <v>3.5</v>
      </c>
      <c r="L377" s="16" t="n">
        <v>6</v>
      </c>
      <c r="M377" s="17" t="inlineStr">
        <is>
          <t>10-Speed Auto</t>
        </is>
      </c>
      <c r="N377" s="16" t="inlineStr">
        <is>
          <t>AWD</t>
        </is>
      </c>
      <c r="O377" s="16" t="inlineStr">
        <is>
          <t>16 (Est)</t>
        </is>
      </c>
      <c r="P377" s="16" t="inlineStr">
        <is>
          <t>N/A</t>
        </is>
      </c>
      <c r="Q377" s="21" t="inlineStr">
        <is>
          <t>N/A</t>
        </is>
      </c>
      <c r="R377" s="16" t="n">
        <v>12</v>
      </c>
      <c r="S377" s="22" t="n">
        <v>100</v>
      </c>
      <c r="T377" s="19" t="n">
        <v>4500</v>
      </c>
      <c r="U377" s="28" t="inlineStr">
        <is>
          <t>8.0/10</t>
        </is>
      </c>
      <c r="V377" s="24" t="inlineStr">
        <is>
          <t xml:space="preserve"> • Refined performance and chassis poise
 • Comfortable ergonomic cabin
 • Comprehensive safety suite</t>
        </is>
      </c>
      <c r="W377" s="25" t="inlineStr">
        <is>
          <t xml:space="preserve"> • Firm ride on optional large wheels
 • Option packages add up quickly
 • Infotainment learning curve</t>
        </is>
      </c>
      <c r="X377" s="26" t="inlineStr">
        <is>
          <t>A solid, well-rounded contender in the US full-size passenger van class with competitive dynamics.</t>
        </is>
      </c>
      <c r="Y377" s="27" t="inlineStr">
        <is>
          <t>https://hips.hearstapps.com/hmg-prod/images/2026-ford-transit.jpg</t>
        </is>
      </c>
      <c r="Z377" s="27" t="inlineStr">
        <is>
          <t>https://www.caranddriver.com/ford/transit</t>
        </is>
      </c>
      <c r="AA377" s="17" t="inlineStr">
        <is>
          <t>Car and Driver Buyer's Guide</t>
        </is>
      </c>
    </row>
    <row r="378" ht="48" customHeight="1">
      <c r="A378" s="4" t="n">
        <v>2026</v>
      </c>
      <c r="B378" s="5" t="inlineStr">
        <is>
          <t>Chevrolet</t>
        </is>
      </c>
      <c r="C378" s="5" t="inlineStr">
        <is>
          <t>Silverado 1500</t>
        </is>
      </c>
      <c r="D378" s="5" t="inlineStr">
        <is>
          <t>Custom Trail Boss</t>
        </is>
      </c>
      <c r="E378" s="5" t="inlineStr">
        <is>
          <t>Off-Road Pickup</t>
        </is>
      </c>
      <c r="F378" s="5" t="inlineStr">
        <is>
          <t>Gasoline</t>
        </is>
      </c>
      <c r="G378" s="6" t="n">
        <v>52000</v>
      </c>
      <c r="H378" s="7" t="n">
        <v>310</v>
      </c>
      <c r="I378" s="7" t="n">
        <v>430</v>
      </c>
      <c r="J378" s="5" t="inlineStr">
        <is>
          <t>2.7L TurboMax I4</t>
        </is>
      </c>
      <c r="K378" s="8" t="n">
        <v>2.7</v>
      </c>
      <c r="L378" s="4" t="n">
        <v>4</v>
      </c>
      <c r="M378" s="5" t="inlineStr">
        <is>
          <t>8-Speed Auto</t>
        </is>
      </c>
      <c r="N378" s="4" t="inlineStr">
        <is>
          <t>4WD</t>
        </is>
      </c>
      <c r="O378" s="4" t="inlineStr">
        <is>
          <t>18 (17/19)</t>
        </is>
      </c>
      <c r="P378" s="4" t="inlineStr">
        <is>
          <t>N/A</t>
        </is>
      </c>
      <c r="Q378" s="9" t="inlineStr">
        <is>
          <t>N/A</t>
        </is>
      </c>
      <c r="R378" s="4" t="n">
        <v>6</v>
      </c>
      <c r="S378" s="10" t="n">
        <v>62.9</v>
      </c>
      <c r="T378" s="7" t="n">
        <v>9500</v>
      </c>
      <c r="U378" s="11" t="inlineStr">
        <is>
          <t>8.0/10</t>
        </is>
      </c>
      <c r="V378" s="12" t="inlineStr">
        <is>
          <t xml:space="preserve"> • Class-leading towing and hauling brawn
 • Palatial crew cab seating and storage
 • Intuitive cabin switchgear</t>
        </is>
      </c>
      <c r="W378" s="13" t="inlineStr">
        <is>
          <t xml:space="preserve"> • Large exterior dimensions in tight parking
 • Thirsty when loaded
 • Top trims push into luxury car pricing</t>
        </is>
      </c>
      <c r="X378" s="14" t="inlineStr">
        <is>
          <t>The backbone of American transportation, offering effortless hauling capability and luxury cabin appointments.</t>
        </is>
      </c>
      <c r="Y378" s="15" t="inlineStr">
        <is>
          <t>https://hips.hearstapps.com/hmg-prod/images/2026-chevrolet-silverado-1500.jpg</t>
        </is>
      </c>
      <c r="Z378" s="15" t="inlineStr">
        <is>
          <t>https://www.caranddriver.com/chevrolet/silverado-1500</t>
        </is>
      </c>
      <c r="AA378" s="5" t="inlineStr">
        <is>
          <t>Car and Driver Buyer's Guide</t>
        </is>
      </c>
    </row>
    <row r="379" ht="48" customHeight="1">
      <c r="A379" s="16" t="n">
        <v>2026</v>
      </c>
      <c r="B379" s="17" t="inlineStr">
        <is>
          <t>Chevrolet</t>
        </is>
      </c>
      <c r="C379" s="17" t="inlineStr">
        <is>
          <t>Silverado 1500</t>
        </is>
      </c>
      <c r="D379" s="17" t="inlineStr">
        <is>
          <t>ZR2 Bison Crew Cab</t>
        </is>
      </c>
      <c r="E379" s="17" t="inlineStr">
        <is>
          <t>Extreme Off-Road Truck</t>
        </is>
      </c>
      <c r="F379" s="17" t="inlineStr">
        <is>
          <t>Gasoline</t>
        </is>
      </c>
      <c r="G379" s="18" t="n">
        <v>78000</v>
      </c>
      <c r="H379" s="19" t="n">
        <v>420</v>
      </c>
      <c r="I379" s="19" t="n">
        <v>460</v>
      </c>
      <c r="J379" s="17" t="inlineStr">
        <is>
          <t>6.2L EcoTec3 V8 w/ Multimatic DSSV</t>
        </is>
      </c>
      <c r="K379" s="20" t="n">
        <v>6.2</v>
      </c>
      <c r="L379" s="16" t="n">
        <v>8</v>
      </c>
      <c r="M379" s="17" t="inlineStr">
        <is>
          <t>10-Speed Auto</t>
        </is>
      </c>
      <c r="N379" s="16" t="inlineStr">
        <is>
          <t>4WD</t>
        </is>
      </c>
      <c r="O379" s="16" t="inlineStr">
        <is>
          <t>15 (14/17)</t>
        </is>
      </c>
      <c r="P379" s="16" t="inlineStr">
        <is>
          <t>N/A</t>
        </is>
      </c>
      <c r="Q379" s="21" t="inlineStr">
        <is>
          <t>N/A</t>
        </is>
      </c>
      <c r="R379" s="16" t="n">
        <v>5</v>
      </c>
      <c r="S379" s="22" t="n">
        <v>62.9</v>
      </c>
      <c r="T379" s="19" t="n">
        <v>8900</v>
      </c>
      <c r="U379" s="28" t="inlineStr">
        <is>
          <t>9.0/10</t>
        </is>
      </c>
      <c r="V379" s="24" t="inlineStr">
        <is>
          <t xml:space="preserve"> • Long-travel suspension absorbs severe terrain
 • Aggressive widebody stance
 • Authoritative exhaust roar</t>
        </is>
      </c>
      <c r="W379" s="25" t="inlineStr">
        <is>
          <t xml:space="preserve"> • Difficult to park in urban garages
 • Abysmal fuel economy
 • Eye-watering sticker prices</t>
        </is>
      </c>
      <c r="X379" s="26" t="inlineStr">
        <is>
          <t>Extreme off-road trucks built to dominate desert washes and rocky trails without flinching.</t>
        </is>
      </c>
      <c r="Y379" s="27" t="inlineStr">
        <is>
          <t>https://hips.hearstapps.com/hmg-prod/images/2026-chevrolet-silverado-1500.jpg</t>
        </is>
      </c>
      <c r="Z379" s="27" t="inlineStr">
        <is>
          <t>https://www.caranddriver.com/chevrolet/silverado-1500</t>
        </is>
      </c>
      <c r="AA379" s="17" t="inlineStr">
        <is>
          <t>Car and Driver Tested</t>
        </is>
      </c>
    </row>
    <row r="380" ht="48" customHeight="1">
      <c r="A380" s="4" t="n">
        <v>2026</v>
      </c>
      <c r="B380" s="5" t="inlineStr">
        <is>
          <t>Chevrolet</t>
        </is>
      </c>
      <c r="C380" s="5" t="inlineStr">
        <is>
          <t>Colorado</t>
        </is>
      </c>
      <c r="D380" s="5" t="inlineStr">
        <is>
          <t>Trail Boss Crew Cab</t>
        </is>
      </c>
      <c r="E380" s="5" t="inlineStr">
        <is>
          <t>Mid-Size 4WD Truck</t>
        </is>
      </c>
      <c r="F380" s="5" t="inlineStr">
        <is>
          <t>Gasoline</t>
        </is>
      </c>
      <c r="G380" s="6" t="n">
        <v>39000</v>
      </c>
      <c r="H380" s="7" t="n">
        <v>310</v>
      </c>
      <c r="I380" s="7" t="n">
        <v>430</v>
      </c>
      <c r="J380" s="5" t="inlineStr">
        <is>
          <t>2.7L TurboMax I4</t>
        </is>
      </c>
      <c r="K380" s="8" t="n">
        <v>2.7</v>
      </c>
      <c r="L380" s="4" t="n">
        <v>4</v>
      </c>
      <c r="M380" s="5" t="inlineStr">
        <is>
          <t>8-Speed Auto</t>
        </is>
      </c>
      <c r="N380" s="4" t="inlineStr">
        <is>
          <t>4WD</t>
        </is>
      </c>
      <c r="O380" s="4" t="inlineStr">
        <is>
          <t>19 (17/21)</t>
        </is>
      </c>
      <c r="P380" s="4" t="inlineStr">
        <is>
          <t>N/A</t>
        </is>
      </c>
      <c r="Q380" s="9" t="inlineStr">
        <is>
          <t>N/A</t>
        </is>
      </c>
      <c r="R380" s="4" t="n">
        <v>5</v>
      </c>
      <c r="S380" s="10" t="n">
        <v>41.9</v>
      </c>
      <c r="T380" s="7" t="n">
        <v>7700</v>
      </c>
      <c r="U380" s="11" t="inlineStr">
        <is>
          <t>9.0/10</t>
        </is>
      </c>
      <c r="V380" s="12" t="inlineStr">
        <is>
          <t xml:space="preserve"> • Robust payload and towing capabilities
 • Durable bed and tailgate features
 • High ground clearance</t>
        </is>
      </c>
      <c r="W380" s="13" t="inlineStr">
        <is>
          <t xml:space="preserve"> • Stiffer unladen ride quality
 • Challenging to park in urban garages
 • Higher fuel costs</t>
        </is>
      </c>
      <c r="X380" s="14" t="inlineStr">
        <is>
          <t>A capable and rugged mid-size 4wd truck designed for serious work duty, hauling, and outdoor recreation.</t>
        </is>
      </c>
      <c r="Y380" s="15" t="inlineStr">
        <is>
          <t>https://hips.hearstapps.com/hmg-prod/images/2026-chevrolet-colorado.jpg</t>
        </is>
      </c>
      <c r="Z380" s="15" t="inlineStr">
        <is>
          <t>https://www.caranddriver.com/chevrolet/colorado</t>
        </is>
      </c>
      <c r="AA380" s="5" t="inlineStr">
        <is>
          <t>Car and Driver Editors' Choice</t>
        </is>
      </c>
    </row>
    <row r="381" ht="48" customHeight="1">
      <c r="A381" s="16" t="n">
        <v>2026</v>
      </c>
      <c r="B381" s="17" t="inlineStr">
        <is>
          <t>Chevrolet</t>
        </is>
      </c>
      <c r="C381" s="17" t="inlineStr">
        <is>
          <t>Tahoe</t>
        </is>
      </c>
      <c r="D381" s="17" t="inlineStr">
        <is>
          <t>RST Performance Edition</t>
        </is>
      </c>
      <c r="E381" s="17" t="inlineStr">
        <is>
          <t>Full-Size Sport SUV</t>
        </is>
      </c>
      <c r="F381" s="17" t="inlineStr">
        <is>
          <t>Gasoline</t>
        </is>
      </c>
      <c r="G381" s="18" t="n">
        <v>74000</v>
      </c>
      <c r="H381" s="19" t="n">
        <v>433</v>
      </c>
      <c r="I381" s="19" t="n">
        <v>467</v>
      </c>
      <c r="J381" s="17" t="inlineStr">
        <is>
          <t>6.2L EcoTec3 V8 w/ Brembo Brakes</t>
        </is>
      </c>
      <c r="K381" s="20" t="n">
        <v>6.2</v>
      </c>
      <c r="L381" s="16" t="n">
        <v>8</v>
      </c>
      <c r="M381" s="17" t="inlineStr">
        <is>
          <t>10-Speed Auto</t>
        </is>
      </c>
      <c r="N381" s="16" t="inlineStr">
        <is>
          <t>4WD</t>
        </is>
      </c>
      <c r="O381" s="16" t="inlineStr">
        <is>
          <t>16 (14/18)</t>
        </is>
      </c>
      <c r="P381" s="16" t="inlineStr">
        <is>
          <t>N/A</t>
        </is>
      </c>
      <c r="Q381" s="21" t="inlineStr">
        <is>
          <t>N/A</t>
        </is>
      </c>
      <c r="R381" s="16" t="n">
        <v>7</v>
      </c>
      <c r="S381" s="22" t="n">
        <v>25.5</v>
      </c>
      <c r="T381" s="19" t="n">
        <v>8400</v>
      </c>
      <c r="U381" s="23" t="inlineStr">
        <is>
          <t>9.5/10</t>
        </is>
      </c>
      <c r="V381" s="24" t="inlineStr">
        <is>
          <t xml:space="preserve"> • Spacious passenger and cargo room
 • Commanding elevated driving position
 • Confidence-inspiring all-weather grip</t>
        </is>
      </c>
      <c r="W381" s="25" t="inlineStr">
        <is>
          <t xml:space="preserve"> • Higher center of gravity than sedans
 • Fuel consumption under heavy load
 • Less engaging steering feel</t>
        </is>
      </c>
      <c r="X381" s="26" t="inlineStr">
        <is>
          <t>A highly versatile full-size sport suv that delivers generous space, modern safety tech, and daily utility.</t>
        </is>
      </c>
      <c r="Y381" s="27" t="inlineStr">
        <is>
          <t>https://hips.hearstapps.com/hmg-prod/images/2026-chevrolet-tahoe.jpg</t>
        </is>
      </c>
      <c r="Z381" s="27" t="inlineStr">
        <is>
          <t>https://www.caranddriver.com/chevrolet/tahoe</t>
        </is>
      </c>
      <c r="AA381" s="17" t="inlineStr">
        <is>
          <t>Car and Driver 10Best</t>
        </is>
      </c>
    </row>
    <row r="382" ht="48" customHeight="1">
      <c r="A382" s="4" t="n">
        <v>2026</v>
      </c>
      <c r="B382" s="5" t="inlineStr">
        <is>
          <t>Chevrolet</t>
        </is>
      </c>
      <c r="C382" s="5" t="inlineStr">
        <is>
          <t>Traverse</t>
        </is>
      </c>
      <c r="D382" s="5" t="inlineStr">
        <is>
          <t>RS AWD</t>
        </is>
      </c>
      <c r="E382" s="5" t="inlineStr">
        <is>
          <t>Sport 3-Row Mid-Size SUV</t>
        </is>
      </c>
      <c r="F382" s="5" t="inlineStr">
        <is>
          <t>Gasoline</t>
        </is>
      </c>
      <c r="G382" s="6" t="n">
        <v>55000</v>
      </c>
      <c r="H382" s="7" t="n">
        <v>328</v>
      </c>
      <c r="I382" s="7" t="n">
        <v>326</v>
      </c>
      <c r="J382" s="5" t="inlineStr">
        <is>
          <t>2.5L Turbo I4</t>
        </is>
      </c>
      <c r="K382" s="8" t="n">
        <v>2.5</v>
      </c>
      <c r="L382" s="4" t="n">
        <v>4</v>
      </c>
      <c r="M382" s="5" t="inlineStr">
        <is>
          <t>8-Speed Auto</t>
        </is>
      </c>
      <c r="N382" s="4" t="inlineStr">
        <is>
          <t>AWD</t>
        </is>
      </c>
      <c r="O382" s="4" t="inlineStr">
        <is>
          <t>21 (19/24)</t>
        </is>
      </c>
      <c r="P382" s="4" t="inlineStr">
        <is>
          <t>N/A</t>
        </is>
      </c>
      <c r="Q382" s="9" t="inlineStr">
        <is>
          <t>N/A</t>
        </is>
      </c>
      <c r="R382" s="4" t="n">
        <v>7</v>
      </c>
      <c r="S382" s="10" t="n">
        <v>22.9</v>
      </c>
      <c r="T382" s="7" t="n">
        <v>5000</v>
      </c>
      <c r="U382" s="11" t="inlineStr">
        <is>
          <t>8.5/10</t>
        </is>
      </c>
      <c r="V382" s="12" t="inlineStr">
        <is>
          <t xml:space="preserve"> • Spacious passenger and cargo room
 • Commanding elevated driving position
 • Confidence-inspiring all-weather grip</t>
        </is>
      </c>
      <c r="W382" s="13" t="inlineStr">
        <is>
          <t xml:space="preserve"> • Higher center of gravity than sedans
 • Fuel consumption under heavy load
 • Less engaging steering feel</t>
        </is>
      </c>
      <c r="X382" s="14" t="inlineStr">
        <is>
          <t>A highly versatile sport 3-row mid-size suv that delivers generous space, modern safety tech, and daily utility.</t>
        </is>
      </c>
      <c r="Y382" s="15" t="inlineStr">
        <is>
          <t>https://hips.hearstapps.com/hmg-prod/images/2026-chevrolet-traverse.jpg</t>
        </is>
      </c>
      <c r="Z382" s="15" t="inlineStr">
        <is>
          <t>https://www.caranddriver.com/chevrolet/traverse</t>
        </is>
      </c>
      <c r="AA382" s="5" t="inlineStr">
        <is>
          <t>Car and Driver Buyer's Guide</t>
        </is>
      </c>
    </row>
    <row r="383" ht="48" customHeight="1">
      <c r="A383" s="16" t="n">
        <v>2026</v>
      </c>
      <c r="B383" s="17" t="inlineStr">
        <is>
          <t>Toyota</t>
        </is>
      </c>
      <c r="C383" s="17" t="inlineStr">
        <is>
          <t>Camry</t>
        </is>
      </c>
      <c r="D383" s="17" t="inlineStr">
        <is>
          <t>SE AWD</t>
        </is>
      </c>
      <c r="E383" s="17" t="inlineStr">
        <is>
          <t>Sport Mid-Size Sedan</t>
        </is>
      </c>
      <c r="F383" s="17" t="inlineStr">
        <is>
          <t>Gas-Electric Hybrid</t>
        </is>
      </c>
      <c r="G383" s="18" t="n">
        <v>32500</v>
      </c>
      <c r="H383" s="19" t="n">
        <v>232</v>
      </c>
      <c r="I383" s="19" t="n">
        <v>163</v>
      </c>
      <c r="J383" s="17" t="inlineStr">
        <is>
          <t>2.5L I4 Hybrid + Rear Motor</t>
        </is>
      </c>
      <c r="K383" s="20" t="n">
        <v>2.5</v>
      </c>
      <c r="L383" s="16" t="n">
        <v>4</v>
      </c>
      <c r="M383" s="17" t="inlineStr">
        <is>
          <t>eCVT</t>
        </is>
      </c>
      <c r="N383" s="16" t="inlineStr">
        <is>
          <t>Electronic AWD</t>
        </is>
      </c>
      <c r="O383" s="16" t="inlineStr">
        <is>
          <t>46 (46/46)</t>
        </is>
      </c>
      <c r="P383" s="16" t="inlineStr">
        <is>
          <t>N/A</t>
        </is>
      </c>
      <c r="Q383" s="22" t="n">
        <v>1</v>
      </c>
      <c r="R383" s="16" t="n">
        <v>5</v>
      </c>
      <c r="S383" s="22" t="n">
        <v>15.1</v>
      </c>
      <c r="T383" s="16" t="inlineStr">
        <is>
          <t>N/A</t>
        </is>
      </c>
      <c r="U383" s="23" t="inlineStr">
        <is>
          <t>9.5/10</t>
        </is>
      </c>
      <c r="V383" s="24" t="inlineStr">
        <is>
          <t xml:space="preserve"> • Remarkable 45-50 mpg combined efficiency
 • Standard hybrid across entire range
 • Comfortable, serene ride</t>
        </is>
      </c>
      <c r="W383" s="25" t="inlineStr">
        <is>
          <t xml:space="preserve"> • eCVT drones under hard acceleration
 • Sedan styling plays it safe
 • Brake pedal feel could be firmer</t>
        </is>
      </c>
      <c r="X383" s="26" t="inlineStr">
        <is>
          <t>Now exclusively hybrid, the Camry proves that practical, bulletproof family sedans are better than ever.</t>
        </is>
      </c>
      <c r="Y383" s="27" t="inlineStr">
        <is>
          <t>https://hips.hearstapps.com/hmg-prod/images/2026-toyota-camry.jpg</t>
        </is>
      </c>
      <c r="Z383" s="27" t="inlineStr">
        <is>
          <t>https://www.caranddriver.com/toyota/camry</t>
        </is>
      </c>
      <c r="AA383" s="17" t="inlineStr">
        <is>
          <t>Car and Driver 10Best</t>
        </is>
      </c>
    </row>
    <row r="384" ht="48" customHeight="1">
      <c r="A384" s="4" t="n">
        <v>2026</v>
      </c>
      <c r="B384" s="5" t="inlineStr">
        <is>
          <t>Toyota</t>
        </is>
      </c>
      <c r="C384" s="5" t="inlineStr">
        <is>
          <t>Crown</t>
        </is>
      </c>
      <c r="D384" s="5" t="inlineStr">
        <is>
          <t>Limited AWD</t>
        </is>
      </c>
      <c r="E384" s="5" t="inlineStr">
        <is>
          <t>Elevated Sedan</t>
        </is>
      </c>
      <c r="F384" s="5" t="inlineStr">
        <is>
          <t>Gas-Electric Hybrid</t>
        </is>
      </c>
      <c r="G384" s="6" t="n">
        <v>46000</v>
      </c>
      <c r="H384" s="7" t="n">
        <v>236</v>
      </c>
      <c r="I384" s="7" t="n">
        <v>163</v>
      </c>
      <c r="J384" s="5" t="inlineStr">
        <is>
          <t>2.5L I4 + Motors</t>
        </is>
      </c>
      <c r="K384" s="8" t="n">
        <v>2.5</v>
      </c>
      <c r="L384" s="4" t="n">
        <v>4</v>
      </c>
      <c r="M384" s="5" t="inlineStr">
        <is>
          <t>eCVT</t>
        </is>
      </c>
      <c r="N384" s="4" t="inlineStr">
        <is>
          <t>AWD</t>
        </is>
      </c>
      <c r="O384" s="4" t="inlineStr">
        <is>
          <t>41 (42/41)</t>
        </is>
      </c>
      <c r="P384" s="4" t="inlineStr">
        <is>
          <t>N/A</t>
        </is>
      </c>
      <c r="Q384" s="10" t="n">
        <v>1.4</v>
      </c>
      <c r="R384" s="4" t="n">
        <v>5</v>
      </c>
      <c r="S384" s="10" t="n">
        <v>15.2</v>
      </c>
      <c r="T384" s="4" t="inlineStr">
        <is>
          <t>N/A</t>
        </is>
      </c>
      <c r="U384" s="11" t="inlineStr">
        <is>
          <t>8.0/10</t>
        </is>
      </c>
      <c r="V384" s="12" t="inlineStr">
        <is>
          <t xml:space="preserve"> • Superb real-world fuel economy
 • Smooth electric-gas power handover
 • No range anxiety on long trips</t>
        </is>
      </c>
      <c r="W384" s="13" t="inlineStr">
        <is>
          <t xml:space="preserve"> • Added curb weight from battery packs
 • Slightly compromised cargo space
 • eCVT engine flare during passing</t>
        </is>
      </c>
      <c r="X384" s="14" t="inlineStr">
        <is>
          <t>A finely engineered gas-electric hybrid elevated sedan striking the optimal balance between high efficiency and long-distance practicality.</t>
        </is>
      </c>
      <c r="Y384" s="15" t="inlineStr">
        <is>
          <t>https://hips.hearstapps.com/hmg-prod/images/2026-toyota-crown.jpg</t>
        </is>
      </c>
      <c r="Z384" s="15" t="inlineStr">
        <is>
          <t>https://www.caranddriver.com/toyota/crown</t>
        </is>
      </c>
      <c r="AA384" s="5" t="inlineStr">
        <is>
          <t>Car and Driver Buyer's Guide</t>
        </is>
      </c>
    </row>
    <row r="385" ht="48" customHeight="1">
      <c r="A385" s="16" t="n">
        <v>2026</v>
      </c>
      <c r="B385" s="17" t="inlineStr">
        <is>
          <t>Toyota</t>
        </is>
      </c>
      <c r="C385" s="17" t="inlineStr">
        <is>
          <t>Tacoma</t>
        </is>
      </c>
      <c r="D385" s="17" t="inlineStr">
        <is>
          <t>TRD Off-Road Double Cab</t>
        </is>
      </c>
      <c r="E385" s="17" t="inlineStr">
        <is>
          <t>Mid-Size 4x4 Truck</t>
        </is>
      </c>
      <c r="F385" s="17" t="inlineStr">
        <is>
          <t>Gasoline</t>
        </is>
      </c>
      <c r="G385" s="18" t="n">
        <v>44000</v>
      </c>
      <c r="H385" s="19" t="n">
        <v>278</v>
      </c>
      <c r="I385" s="19" t="n">
        <v>317</v>
      </c>
      <c r="J385" s="17" t="inlineStr">
        <is>
          <t>2.4L i-FORCE Turbo I4</t>
        </is>
      </c>
      <c r="K385" s="20" t="n">
        <v>2.4</v>
      </c>
      <c r="L385" s="16" t="n">
        <v>4</v>
      </c>
      <c r="M385" s="17" t="inlineStr">
        <is>
          <t>6-Speed Manual</t>
        </is>
      </c>
      <c r="N385" s="16" t="inlineStr">
        <is>
          <t>4WD</t>
        </is>
      </c>
      <c r="O385" s="16" t="inlineStr">
        <is>
          <t>20 (18/23)</t>
        </is>
      </c>
      <c r="P385" s="16" t="inlineStr">
        <is>
          <t>N/A</t>
        </is>
      </c>
      <c r="Q385" s="21" t="inlineStr">
        <is>
          <t>N/A</t>
        </is>
      </c>
      <c r="R385" s="16" t="n">
        <v>5</v>
      </c>
      <c r="S385" s="22" t="n">
        <v>38</v>
      </c>
      <c r="T385" s="19" t="n">
        <v>6500</v>
      </c>
      <c r="U385" s="28" t="inlineStr">
        <is>
          <t>9.0/10</t>
        </is>
      </c>
      <c r="V385" s="24" t="inlineStr">
        <is>
          <t xml:space="preserve"> • Robust payload and towing capabilities
 • Durable bed and tailgate features
 • High ground clearance</t>
        </is>
      </c>
      <c r="W385" s="25" t="inlineStr">
        <is>
          <t xml:space="preserve"> • Stiffer unladen ride quality
 • Challenging to park in urban garages
 • Higher fuel costs</t>
        </is>
      </c>
      <c r="X385" s="26" t="inlineStr">
        <is>
          <t>A capable and rugged mid-size 4x4 truck designed for serious work duty, hauling, and outdoor recreation.</t>
        </is>
      </c>
      <c r="Y385" s="27" t="inlineStr">
        <is>
          <t>https://hips.hearstapps.com/hmg-prod/images/2026-toyota-tacoma.jpg</t>
        </is>
      </c>
      <c r="Z385" s="27" t="inlineStr">
        <is>
          <t>https://www.caranddriver.com/toyota/tacoma</t>
        </is>
      </c>
      <c r="AA385" s="17" t="inlineStr">
        <is>
          <t>Car and Driver Buyer's Guide</t>
        </is>
      </c>
    </row>
    <row r="386" ht="48" customHeight="1">
      <c r="A386" s="4" t="n">
        <v>2026</v>
      </c>
      <c r="B386" s="5" t="inlineStr">
        <is>
          <t>Toyota</t>
        </is>
      </c>
      <c r="C386" s="5" t="inlineStr">
        <is>
          <t>Tacoma</t>
        </is>
      </c>
      <c r="D386" s="5" t="inlineStr">
        <is>
          <t>SR5 Access Cab</t>
        </is>
      </c>
      <c r="E386" s="5" t="inlineStr">
        <is>
          <t>Mid-Size Work Truck</t>
        </is>
      </c>
      <c r="F386" s="5" t="inlineStr">
        <is>
          <t>Gasoline</t>
        </is>
      </c>
      <c r="G386" s="6" t="n">
        <v>37000</v>
      </c>
      <c r="H386" s="7" t="n">
        <v>278</v>
      </c>
      <c r="I386" s="7" t="n">
        <v>317</v>
      </c>
      <c r="J386" s="5" t="inlineStr">
        <is>
          <t>2.4L i-FORCE Turbo I4</t>
        </is>
      </c>
      <c r="K386" s="8" t="n">
        <v>2.4</v>
      </c>
      <c r="L386" s="4" t="n">
        <v>4</v>
      </c>
      <c r="M386" s="5" t="inlineStr">
        <is>
          <t>8-Speed Auto</t>
        </is>
      </c>
      <c r="N386" s="4" t="inlineStr">
        <is>
          <t>RWD</t>
        </is>
      </c>
      <c r="O386" s="4" t="inlineStr">
        <is>
          <t>23 (20/26)</t>
        </is>
      </c>
      <c r="P386" s="4" t="inlineStr">
        <is>
          <t>N/A</t>
        </is>
      </c>
      <c r="Q386" s="9" t="inlineStr">
        <is>
          <t>N/A</t>
        </is>
      </c>
      <c r="R386" s="4" t="n">
        <v>4</v>
      </c>
      <c r="S386" s="10" t="n">
        <v>42</v>
      </c>
      <c r="T386" s="7" t="n">
        <v>6500</v>
      </c>
      <c r="U386" s="11" t="inlineStr">
        <is>
          <t>8.5/10</t>
        </is>
      </c>
      <c r="V386" s="12" t="inlineStr">
        <is>
          <t xml:space="preserve"> • Robust payload and towing capabilities
 • Durable bed and tailgate features
 • High ground clearance</t>
        </is>
      </c>
      <c r="W386" s="13" t="inlineStr">
        <is>
          <t xml:space="preserve"> • Stiffer unladen ride quality
 • Challenging to park in urban garages
 • Higher fuel costs</t>
        </is>
      </c>
      <c r="X386" s="14" t="inlineStr">
        <is>
          <t>A capable and rugged mid-size work truck designed for serious work duty, hauling, and outdoor recreation.</t>
        </is>
      </c>
      <c r="Y386" s="15" t="inlineStr">
        <is>
          <t>https://hips.hearstapps.com/hmg-prod/images/2026-toyota-tacoma.jpg</t>
        </is>
      </c>
      <c r="Z386" s="15" t="inlineStr">
        <is>
          <t>https://www.caranddriver.com/toyota/tacoma</t>
        </is>
      </c>
      <c r="AA386" s="5" t="inlineStr">
        <is>
          <t>Car and Driver Buyer's Guide</t>
        </is>
      </c>
    </row>
    <row r="387" ht="48" customHeight="1">
      <c r="A387" s="16" t="n">
        <v>2026</v>
      </c>
      <c r="B387" s="17" t="inlineStr">
        <is>
          <t>Toyota</t>
        </is>
      </c>
      <c r="C387" s="17" t="inlineStr">
        <is>
          <t>Tundra</t>
        </is>
      </c>
      <c r="D387" s="17" t="inlineStr">
        <is>
          <t>SR5 CrewMax 4x4</t>
        </is>
      </c>
      <c r="E387" s="17" t="inlineStr">
        <is>
          <t>Full-Size Truck</t>
        </is>
      </c>
      <c r="F387" s="17" t="inlineStr">
        <is>
          <t>Gasoline</t>
        </is>
      </c>
      <c r="G387" s="18" t="n">
        <v>50000</v>
      </c>
      <c r="H387" s="19" t="n">
        <v>389</v>
      </c>
      <c r="I387" s="19" t="n">
        <v>479</v>
      </c>
      <c r="J387" s="17" t="inlineStr">
        <is>
          <t>3.4L Twin-Turbo V6</t>
        </is>
      </c>
      <c r="K387" s="20" t="n">
        <v>3.4</v>
      </c>
      <c r="L387" s="16" t="n">
        <v>6</v>
      </c>
      <c r="M387" s="17" t="inlineStr">
        <is>
          <t>10-Speed Auto</t>
        </is>
      </c>
      <c r="N387" s="16" t="inlineStr">
        <is>
          <t>4WD</t>
        </is>
      </c>
      <c r="O387" s="16" t="inlineStr">
        <is>
          <t>19 (17/22)</t>
        </is>
      </c>
      <c r="P387" s="16" t="inlineStr">
        <is>
          <t>N/A</t>
        </is>
      </c>
      <c r="Q387" s="21" t="inlineStr">
        <is>
          <t>N/A</t>
        </is>
      </c>
      <c r="R387" s="16" t="n">
        <v>5</v>
      </c>
      <c r="S387" s="22" t="n">
        <v>58.7</v>
      </c>
      <c r="T387" s="19" t="n">
        <v>11400</v>
      </c>
      <c r="U387" s="28" t="inlineStr">
        <is>
          <t>8.0/10</t>
        </is>
      </c>
      <c r="V387" s="24" t="inlineStr">
        <is>
          <t xml:space="preserve"> • Class-leading towing and hauling brawn
 • Palatial crew cab seating and storage
 • Intuitive cabin switchgear</t>
        </is>
      </c>
      <c r="W387" s="25" t="inlineStr">
        <is>
          <t xml:space="preserve"> • Large exterior dimensions in tight parking
 • Thirsty when loaded
 • Top trims push into luxury car pricing</t>
        </is>
      </c>
      <c r="X387" s="26" t="inlineStr">
        <is>
          <t>The backbone of American transportation, offering effortless hauling capability and luxury cabin appointments.</t>
        </is>
      </c>
      <c r="Y387" s="27" t="inlineStr">
        <is>
          <t>https://hips.hearstapps.com/hmg-prod/images/2026-toyota-tundra.jpg</t>
        </is>
      </c>
      <c r="Z387" s="27" t="inlineStr">
        <is>
          <t>https://www.caranddriver.com/toyota/tundra</t>
        </is>
      </c>
      <c r="AA387" s="17" t="inlineStr">
        <is>
          <t>Car and Driver Buyer's Guide</t>
        </is>
      </c>
    </row>
    <row r="388" ht="48" customHeight="1">
      <c r="A388" s="4" t="n">
        <v>2026</v>
      </c>
      <c r="B388" s="5" t="inlineStr">
        <is>
          <t>Toyota</t>
        </is>
      </c>
      <c r="C388" s="5" t="inlineStr">
        <is>
          <t>Tundra</t>
        </is>
      </c>
      <c r="D388" s="5" t="inlineStr">
        <is>
          <t>Capstone CrewMax</t>
        </is>
      </c>
      <c r="E388" s="5" t="inlineStr">
        <is>
          <t>Full-Size Luxury Truck</t>
        </is>
      </c>
      <c r="F388" s="5" t="inlineStr">
        <is>
          <t>Gas-Electric Hybrid</t>
        </is>
      </c>
      <c r="G388" s="6" t="n">
        <v>80000</v>
      </c>
      <c r="H388" s="7" t="n">
        <v>437</v>
      </c>
      <c r="I388" s="7" t="n">
        <v>583</v>
      </c>
      <c r="J388" s="5" t="inlineStr">
        <is>
          <t>3.4L Twin-Turbo V6 Hybrid</t>
        </is>
      </c>
      <c r="K388" s="8" t="n">
        <v>3.4</v>
      </c>
      <c r="L388" s="4" t="n">
        <v>6</v>
      </c>
      <c r="M388" s="5" t="inlineStr">
        <is>
          <t>10-Speed Auto</t>
        </is>
      </c>
      <c r="N388" s="4" t="inlineStr">
        <is>
          <t>4WD</t>
        </is>
      </c>
      <c r="O388" s="4" t="inlineStr">
        <is>
          <t>20 (19/21)</t>
        </is>
      </c>
      <c r="P388" s="4" t="inlineStr">
        <is>
          <t>N/A</t>
        </is>
      </c>
      <c r="Q388" s="10" t="n">
        <v>1.87</v>
      </c>
      <c r="R388" s="4" t="n">
        <v>5</v>
      </c>
      <c r="S388" s="10" t="n">
        <v>58.7</v>
      </c>
      <c r="T388" s="7" t="n">
        <v>10340</v>
      </c>
      <c r="U388" s="11" t="inlineStr">
        <is>
          <t>8.5/10</t>
        </is>
      </c>
      <c r="V388" s="12" t="inlineStr">
        <is>
          <t xml:space="preserve"> • Massive instant electric torque
 • Innovative front frunk storage
 • Vehicle-to-home export power</t>
        </is>
      </c>
      <c r="W388" s="13" t="inlineStr">
        <is>
          <t xml:space="preserve"> • Significant range reduction while towing
 • DC fast-charging infrastructure bottlenecks
 • Heavy curb weight</t>
        </is>
      </c>
      <c r="X388" s="14" t="inlineStr">
        <is>
          <t>Revolutionary electric utility that transforms work sites and family travel when towing demands are modest.</t>
        </is>
      </c>
      <c r="Y388" s="15" t="inlineStr">
        <is>
          <t>https://hips.hearstapps.com/hmg-prod/images/2026-toyota-tundra.jpg</t>
        </is>
      </c>
      <c r="Z388" s="15" t="inlineStr">
        <is>
          <t>https://www.caranddriver.com/toyota/tundra</t>
        </is>
      </c>
      <c r="AA388" s="5" t="inlineStr">
        <is>
          <t>Car and Driver Buyer's Guide</t>
        </is>
      </c>
    </row>
    <row r="389" ht="48" customHeight="1">
      <c r="A389" s="16" t="n">
        <v>2026</v>
      </c>
      <c r="B389" s="17" t="inlineStr">
        <is>
          <t>Toyota</t>
        </is>
      </c>
      <c r="C389" s="17" t="inlineStr">
        <is>
          <t>RAV4</t>
        </is>
      </c>
      <c r="D389" s="17" t="inlineStr">
        <is>
          <t>LE FWD</t>
        </is>
      </c>
      <c r="E389" s="17" t="inlineStr">
        <is>
          <t>Compact Crossover</t>
        </is>
      </c>
      <c r="F389" s="17" t="inlineStr">
        <is>
          <t>Gasoline</t>
        </is>
      </c>
      <c r="G389" s="18" t="n">
        <v>30000</v>
      </c>
      <c r="H389" s="19" t="n">
        <v>203</v>
      </c>
      <c r="I389" s="19" t="n">
        <v>184</v>
      </c>
      <c r="J389" s="17" t="inlineStr">
        <is>
          <t>2.5L Dynamic Force I4</t>
        </is>
      </c>
      <c r="K389" s="20" t="n">
        <v>2.5</v>
      </c>
      <c r="L389" s="16" t="n">
        <v>4</v>
      </c>
      <c r="M389" s="17" t="inlineStr">
        <is>
          <t>8-Speed Auto</t>
        </is>
      </c>
      <c r="N389" s="16" t="inlineStr">
        <is>
          <t>FWD</t>
        </is>
      </c>
      <c r="O389" s="16" t="inlineStr">
        <is>
          <t>30 (27/35)</t>
        </is>
      </c>
      <c r="P389" s="16" t="inlineStr">
        <is>
          <t>N/A</t>
        </is>
      </c>
      <c r="Q389" s="21" t="inlineStr">
        <is>
          <t>N/A</t>
        </is>
      </c>
      <c r="R389" s="16" t="n">
        <v>5</v>
      </c>
      <c r="S389" s="22" t="n">
        <v>37.5</v>
      </c>
      <c r="T389" s="19" t="n">
        <v>1500</v>
      </c>
      <c r="U389" s="28" t="inlineStr">
        <is>
          <t>8.0/10</t>
        </is>
      </c>
      <c r="V389" s="24" t="inlineStr">
        <is>
          <t xml:space="preserve"> • Spacious passenger and cargo room
 • Commanding elevated driving position
 • Confidence-inspiring all-weather grip</t>
        </is>
      </c>
      <c r="W389" s="25" t="inlineStr">
        <is>
          <t xml:space="preserve"> • Higher center of gravity than sedans
 • Fuel consumption under heavy load
 • Less engaging steering feel</t>
        </is>
      </c>
      <c r="X389" s="26" t="inlineStr">
        <is>
          <t>A highly versatile compact crossover that delivers generous space, modern safety tech, and daily utility.</t>
        </is>
      </c>
      <c r="Y389" s="27" t="inlineStr">
        <is>
          <t>https://hips.hearstapps.com/hmg-prod/images/2026-toyota-rav4.jpg</t>
        </is>
      </c>
      <c r="Z389" s="27" t="inlineStr">
        <is>
          <t>https://www.caranddriver.com/toyota/rav4</t>
        </is>
      </c>
      <c r="AA389" s="17" t="inlineStr">
        <is>
          <t>Car and Driver Buyer's Guide</t>
        </is>
      </c>
    </row>
    <row r="390" ht="48" customHeight="1">
      <c r="A390" s="4" t="n">
        <v>2026</v>
      </c>
      <c r="B390" s="5" t="inlineStr">
        <is>
          <t>Toyota</t>
        </is>
      </c>
      <c r="C390" s="5" t="inlineStr">
        <is>
          <t>RAV4</t>
        </is>
      </c>
      <c r="D390" s="5" t="inlineStr">
        <is>
          <t>TRD Off-Road AWD</t>
        </is>
      </c>
      <c r="E390" s="5" t="inlineStr">
        <is>
          <t>Rugged Compact SUV</t>
        </is>
      </c>
      <c r="F390" s="5" t="inlineStr">
        <is>
          <t>Gasoline</t>
        </is>
      </c>
      <c r="G390" s="6" t="n">
        <v>39500</v>
      </c>
      <c r="H390" s="7" t="n">
        <v>203</v>
      </c>
      <c r="I390" s="7" t="n">
        <v>184</v>
      </c>
      <c r="J390" s="5" t="inlineStr">
        <is>
          <t>2.5L Dynamic Force I4</t>
        </is>
      </c>
      <c r="K390" s="8" t="n">
        <v>2.5</v>
      </c>
      <c r="L390" s="4" t="n">
        <v>4</v>
      </c>
      <c r="M390" s="5" t="inlineStr">
        <is>
          <t>8-Speed Auto</t>
        </is>
      </c>
      <c r="N390" s="4" t="inlineStr">
        <is>
          <t>Torque Vectoring AWD</t>
        </is>
      </c>
      <c r="O390" s="4" t="inlineStr">
        <is>
          <t>28 (25/32)</t>
        </is>
      </c>
      <c r="P390" s="4" t="inlineStr">
        <is>
          <t>N/A</t>
        </is>
      </c>
      <c r="Q390" s="9" t="inlineStr">
        <is>
          <t>N/A</t>
        </is>
      </c>
      <c r="R390" s="4" t="n">
        <v>5</v>
      </c>
      <c r="S390" s="10" t="n">
        <v>37.5</v>
      </c>
      <c r="T390" s="7" t="n">
        <v>3500</v>
      </c>
      <c r="U390" s="11" t="inlineStr">
        <is>
          <t>8.5/10</t>
        </is>
      </c>
      <c r="V390" s="12" t="inlineStr">
        <is>
          <t xml:space="preserve"> • Spacious passenger and cargo room
 • Commanding elevated driving position
 • Confidence-inspiring all-weather grip</t>
        </is>
      </c>
      <c r="W390" s="13" t="inlineStr">
        <is>
          <t xml:space="preserve"> • Higher center of gravity than sedans
 • Fuel consumption under heavy load
 • Less engaging steering feel</t>
        </is>
      </c>
      <c r="X390" s="14" t="inlineStr">
        <is>
          <t>A highly versatile rugged compact suv that delivers generous space, modern safety tech, and daily utility.</t>
        </is>
      </c>
      <c r="Y390" s="15" t="inlineStr">
        <is>
          <t>https://hips.hearstapps.com/hmg-prod/images/2026-toyota-rav4.jpg</t>
        </is>
      </c>
      <c r="Z390" s="15" t="inlineStr">
        <is>
          <t>https://www.caranddriver.com/toyota/rav4</t>
        </is>
      </c>
      <c r="AA390" s="5" t="inlineStr">
        <is>
          <t>Car and Driver Buyer's Guide</t>
        </is>
      </c>
    </row>
    <row r="391" ht="48" customHeight="1">
      <c r="A391" s="16" t="n">
        <v>2026</v>
      </c>
      <c r="B391" s="17" t="inlineStr">
        <is>
          <t>Toyota</t>
        </is>
      </c>
      <c r="C391" s="17" t="inlineStr">
        <is>
          <t>Highlander</t>
        </is>
      </c>
      <c r="D391" s="17" t="inlineStr">
        <is>
          <t>XLE FWD</t>
        </is>
      </c>
      <c r="E391" s="17" t="inlineStr">
        <is>
          <t>3-Row Mid-Size SUV</t>
        </is>
      </c>
      <c r="F391" s="17" t="inlineStr">
        <is>
          <t>Gasoline</t>
        </is>
      </c>
      <c r="G391" s="18" t="n">
        <v>44000</v>
      </c>
      <c r="H391" s="19" t="n">
        <v>265</v>
      </c>
      <c r="I391" s="19" t="n">
        <v>310</v>
      </c>
      <c r="J391" s="17" t="inlineStr">
        <is>
          <t>2.4L Turbo I4</t>
        </is>
      </c>
      <c r="K391" s="20" t="n">
        <v>2.4</v>
      </c>
      <c r="L391" s="16" t="n">
        <v>4</v>
      </c>
      <c r="M391" s="17" t="inlineStr">
        <is>
          <t>8-Speed Auto</t>
        </is>
      </c>
      <c r="N391" s="16" t="inlineStr">
        <is>
          <t>FWD</t>
        </is>
      </c>
      <c r="O391" s="16" t="inlineStr">
        <is>
          <t>25 (22/29)</t>
        </is>
      </c>
      <c r="P391" s="16" t="inlineStr">
        <is>
          <t>N/A</t>
        </is>
      </c>
      <c r="Q391" s="21" t="inlineStr">
        <is>
          <t>N/A</t>
        </is>
      </c>
      <c r="R391" s="16" t="n">
        <v>8</v>
      </c>
      <c r="S391" s="22" t="n">
        <v>16</v>
      </c>
      <c r="T391" s="19" t="n">
        <v>5000</v>
      </c>
      <c r="U391" s="28" t="inlineStr">
        <is>
          <t>8.0/10</t>
        </is>
      </c>
      <c r="V391" s="24" t="inlineStr">
        <is>
          <t xml:space="preserve"> • Spacious passenger and cargo room
 • Commanding elevated driving position
 • Confidence-inspiring all-weather grip</t>
        </is>
      </c>
      <c r="W391" s="25" t="inlineStr">
        <is>
          <t xml:space="preserve"> • Higher center of gravity than sedans
 • Fuel consumption under heavy load
 • Less engaging steering feel</t>
        </is>
      </c>
      <c r="X391" s="26" t="inlineStr">
        <is>
          <t>A highly versatile 3-row mid-size suv that delivers generous space, modern safety tech, and daily utility.</t>
        </is>
      </c>
      <c r="Y391" s="27" t="inlineStr">
        <is>
          <t>https://hips.hearstapps.com/hmg-prod/images/2026-toyota-highlander.jpg</t>
        </is>
      </c>
      <c r="Z391" s="27" t="inlineStr">
        <is>
          <t>https://www.caranddriver.com/toyota/highlander</t>
        </is>
      </c>
      <c r="AA391" s="17" t="inlineStr">
        <is>
          <t>Car and Driver Buyer's Guide</t>
        </is>
      </c>
    </row>
    <row r="392" ht="48" customHeight="1">
      <c r="A392" s="4" t="n">
        <v>2026</v>
      </c>
      <c r="B392" s="5" t="inlineStr">
        <is>
          <t>Honda</t>
        </is>
      </c>
      <c r="C392" s="5" t="inlineStr">
        <is>
          <t>Civic</t>
        </is>
      </c>
      <c r="D392" s="5" t="inlineStr">
        <is>
          <t>Sport Sedan 2.0L</t>
        </is>
      </c>
      <c r="E392" s="5" t="inlineStr">
        <is>
          <t>Compact Sedan</t>
        </is>
      </c>
      <c r="F392" s="5" t="inlineStr">
        <is>
          <t>Gasoline</t>
        </is>
      </c>
      <c r="G392" s="6" t="n">
        <v>26000</v>
      </c>
      <c r="H392" s="7" t="n">
        <v>158</v>
      </c>
      <c r="I392" s="7" t="n">
        <v>138</v>
      </c>
      <c r="J392" s="5" t="inlineStr">
        <is>
          <t>2.0L DOHC I4</t>
        </is>
      </c>
      <c r="K392" s="8" t="n">
        <v>2</v>
      </c>
      <c r="L392" s="4" t="n">
        <v>4</v>
      </c>
      <c r="M392" s="5" t="inlineStr">
        <is>
          <t>CVT</t>
        </is>
      </c>
      <c r="N392" s="4" t="inlineStr">
        <is>
          <t>FWD</t>
        </is>
      </c>
      <c r="O392" s="4" t="inlineStr">
        <is>
          <t>34 (31/39)</t>
        </is>
      </c>
      <c r="P392" s="4" t="inlineStr">
        <is>
          <t>N/A</t>
        </is>
      </c>
      <c r="Q392" s="9" t="inlineStr">
        <is>
          <t>N/A</t>
        </is>
      </c>
      <c r="R392" s="4" t="n">
        <v>5</v>
      </c>
      <c r="S392" s="10" t="n">
        <v>14.8</v>
      </c>
      <c r="T392" s="4" t="inlineStr">
        <is>
          <t>N/A</t>
        </is>
      </c>
      <c r="U392" s="11" t="inlineStr">
        <is>
          <t>9.0/10</t>
        </is>
      </c>
      <c r="V392" s="12" t="inlineStr">
        <is>
          <t xml:space="preserve"> • Agile handling and crisp steering
 • Intuitive controls and sleek cabin
 • Great fuel efficiency</t>
        </is>
      </c>
      <c r="W392" s="13" t="inlineStr">
        <is>
          <t xml:space="preserve"> • Sedan trunk opening could be taller
 • Engine gets buzzy at redline
 • No AWD available</t>
        </is>
      </c>
      <c r="X392" s="14" t="inlineStr">
        <is>
          <t>The undisputed standard-bearer for compact transportation.</t>
        </is>
      </c>
      <c r="Y392" s="15" t="inlineStr">
        <is>
          <t>https://hips.hearstapps.com/hmg-prod/images/2026-honda-civic.jpg</t>
        </is>
      </c>
      <c r="Z392" s="15" t="inlineStr">
        <is>
          <t>https://www.caranddriver.com/honda/civic</t>
        </is>
      </c>
      <c r="AA392" s="5" t="inlineStr">
        <is>
          <t>Car and Driver 10Best</t>
        </is>
      </c>
    </row>
    <row r="393" ht="48" customHeight="1">
      <c r="A393" s="16" t="n">
        <v>2026</v>
      </c>
      <c r="B393" s="17" t="inlineStr">
        <is>
          <t>Honda</t>
        </is>
      </c>
      <c r="C393" s="17" t="inlineStr">
        <is>
          <t>Civic</t>
        </is>
      </c>
      <c r="D393" s="17" t="inlineStr">
        <is>
          <t>Sport Touring Hybrid Hatch</t>
        </is>
      </c>
      <c r="E393" s="17" t="inlineStr">
        <is>
          <t>Compact Hybrid Hatchback</t>
        </is>
      </c>
      <c r="F393" s="17" t="inlineStr">
        <is>
          <t>Gas-Electric Hybrid</t>
        </is>
      </c>
      <c r="G393" s="18" t="n">
        <v>33500</v>
      </c>
      <c r="H393" s="19" t="n">
        <v>200</v>
      </c>
      <c r="I393" s="19" t="n">
        <v>232</v>
      </c>
      <c r="J393" s="17" t="inlineStr">
        <is>
          <t>2.0L Atkinson I4 + Motors</t>
        </is>
      </c>
      <c r="K393" s="20" t="n">
        <v>2</v>
      </c>
      <c r="L393" s="16" t="n">
        <v>4</v>
      </c>
      <c r="M393" s="17" t="inlineStr">
        <is>
          <t>eCVT</t>
        </is>
      </c>
      <c r="N393" s="16" t="inlineStr">
        <is>
          <t>FWD</t>
        </is>
      </c>
      <c r="O393" s="16" t="inlineStr">
        <is>
          <t>48 (50/45)</t>
        </is>
      </c>
      <c r="P393" s="16" t="inlineStr">
        <is>
          <t>N/A</t>
        </is>
      </c>
      <c r="Q393" s="22" t="n">
        <v>1.05</v>
      </c>
      <c r="R393" s="16" t="n">
        <v>5</v>
      </c>
      <c r="S393" s="22" t="n">
        <v>24.5</v>
      </c>
      <c r="T393" s="16" t="inlineStr">
        <is>
          <t>N/A</t>
        </is>
      </c>
      <c r="U393" s="23" t="inlineStr">
        <is>
          <t>10/10</t>
        </is>
      </c>
      <c r="V393" s="24" t="inlineStr">
        <is>
          <t xml:space="preserve"> • Sensational 50-mpg fuel efficiency
 • Punchy instantaneous torque response
 • Class-above interior refinement</t>
        </is>
      </c>
      <c r="W393" s="25" t="inlineStr">
        <is>
          <t xml:space="preserve"> • No manual gearbox option
 • Slight road noise on concrete highways
 • Pricier than entry base trims</t>
        </is>
      </c>
      <c r="X393" s="26" t="inlineStr">
        <is>
          <t>A Car and Driver 10Best winner that makes electrification feel completely natural, refined, and fun.</t>
        </is>
      </c>
      <c r="Y393" s="27" t="inlineStr">
        <is>
          <t>https://hips.hearstapps.com/hmg-prod/images/2026-honda-civic.jpg</t>
        </is>
      </c>
      <c r="Z393" s="27" t="inlineStr">
        <is>
          <t>https://www.caranddriver.com/honda/civic</t>
        </is>
      </c>
      <c r="AA393" s="17" t="inlineStr">
        <is>
          <t>Car and Driver 10Best Winner</t>
        </is>
      </c>
    </row>
    <row r="394" ht="48" customHeight="1">
      <c r="A394" s="4" t="n">
        <v>2026</v>
      </c>
      <c r="B394" s="5" t="inlineStr">
        <is>
          <t>Honda</t>
        </is>
      </c>
      <c r="C394" s="5" t="inlineStr">
        <is>
          <t>CR-V</t>
        </is>
      </c>
      <c r="D394" s="5" t="inlineStr">
        <is>
          <t>EX-L AWD</t>
        </is>
      </c>
      <c r="E394" s="5" t="inlineStr">
        <is>
          <t>Compact Crossover</t>
        </is>
      </c>
      <c r="F394" s="5" t="inlineStr">
        <is>
          <t>Gasoline</t>
        </is>
      </c>
      <c r="G394" s="6" t="n">
        <v>36000</v>
      </c>
      <c r="H394" s="7" t="n">
        <v>190</v>
      </c>
      <c r="I394" s="7" t="n">
        <v>179</v>
      </c>
      <c r="J394" s="5" t="inlineStr">
        <is>
          <t>1.5L Turbo I4</t>
        </is>
      </c>
      <c r="K394" s="8" t="n">
        <v>1.5</v>
      </c>
      <c r="L394" s="4" t="n">
        <v>4</v>
      </c>
      <c r="M394" s="5" t="inlineStr">
        <is>
          <t>CVT</t>
        </is>
      </c>
      <c r="N394" s="4" t="inlineStr">
        <is>
          <t>Real Time AWD</t>
        </is>
      </c>
      <c r="O394" s="4" t="inlineStr">
        <is>
          <t>29 (27/32)</t>
        </is>
      </c>
      <c r="P394" s="4" t="inlineStr">
        <is>
          <t>N/A</t>
        </is>
      </c>
      <c r="Q394" s="9" t="inlineStr">
        <is>
          <t>N/A</t>
        </is>
      </c>
      <c r="R394" s="4" t="n">
        <v>5</v>
      </c>
      <c r="S394" s="10" t="n">
        <v>39.3</v>
      </c>
      <c r="T394" s="7" t="n">
        <v>1500</v>
      </c>
      <c r="U394" s="11" t="inlineStr">
        <is>
          <t>9.0/10</t>
        </is>
      </c>
      <c r="V394" s="12" t="inlineStr">
        <is>
          <t xml:space="preserve"> • Spacious passenger and cargo room
 • Commanding elevated driving position
 • Confidence-inspiring all-weather grip</t>
        </is>
      </c>
      <c r="W394" s="13" t="inlineStr">
        <is>
          <t xml:space="preserve"> • Higher center of gravity than sedans
 • Fuel consumption under heavy load
 • Less engaging steering feel</t>
        </is>
      </c>
      <c r="X394" s="14" t="inlineStr">
        <is>
          <t>A highly versatile compact crossover that delivers generous space, modern safety tech, and daily utility.</t>
        </is>
      </c>
      <c r="Y394" s="15" t="inlineStr">
        <is>
          <t>https://hips.hearstapps.com/hmg-prod/images/2026-honda-cr-v.jpg</t>
        </is>
      </c>
      <c r="Z394" s="15" t="inlineStr">
        <is>
          <t>https://www.caranddriver.com/honda/cr-v</t>
        </is>
      </c>
      <c r="AA394" s="5" t="inlineStr">
        <is>
          <t>Car and Driver 10Best</t>
        </is>
      </c>
    </row>
    <row r="395" ht="48" customHeight="1">
      <c r="A395" s="16" t="n">
        <v>2026</v>
      </c>
      <c r="B395" s="17" t="inlineStr">
        <is>
          <t>Honda</t>
        </is>
      </c>
      <c r="C395" s="17" t="inlineStr">
        <is>
          <t>Pilot</t>
        </is>
      </c>
      <c r="D395" s="17" t="inlineStr">
        <is>
          <t>Trailsport 4WD</t>
        </is>
      </c>
      <c r="E395" s="17" t="inlineStr">
        <is>
          <t>Off-Road 3-Row SUV</t>
        </is>
      </c>
      <c r="F395" s="17" t="inlineStr">
        <is>
          <t>Gasoline</t>
        </is>
      </c>
      <c r="G395" s="18" t="n">
        <v>50500</v>
      </c>
      <c r="H395" s="19" t="n">
        <v>285</v>
      </c>
      <c r="I395" s="19" t="n">
        <v>262</v>
      </c>
      <c r="J395" s="17" t="inlineStr">
        <is>
          <t>3.5L DOHC V6 w/ AT Tires</t>
        </is>
      </c>
      <c r="K395" s="20" t="n">
        <v>3.5</v>
      </c>
      <c r="L395" s="16" t="n">
        <v>6</v>
      </c>
      <c r="M395" s="17" t="inlineStr">
        <is>
          <t>10-Speed Auto</t>
        </is>
      </c>
      <c r="N395" s="16" t="inlineStr">
        <is>
          <t>i-VTM4 AWD</t>
        </is>
      </c>
      <c r="O395" s="16" t="inlineStr">
        <is>
          <t>20 (18/23)</t>
        </is>
      </c>
      <c r="P395" s="16" t="inlineStr">
        <is>
          <t>N/A</t>
        </is>
      </c>
      <c r="Q395" s="21" t="inlineStr">
        <is>
          <t>N/A</t>
        </is>
      </c>
      <c r="R395" s="16" t="n">
        <v>7</v>
      </c>
      <c r="S395" s="22" t="n">
        <v>18.6</v>
      </c>
      <c r="T395" s="19" t="n">
        <v>5000</v>
      </c>
      <c r="U395" s="28" t="inlineStr">
        <is>
          <t>9.0/10</t>
        </is>
      </c>
      <c r="V395" s="24" t="inlineStr">
        <is>
          <t xml:space="preserve"> • Spacious passenger and cargo room
 • Commanding elevated driving position
 • Confidence-inspiring all-weather grip</t>
        </is>
      </c>
      <c r="W395" s="25" t="inlineStr">
        <is>
          <t xml:space="preserve"> • Higher center of gravity than sedans
 • Fuel consumption under heavy load
 • Less engaging steering feel</t>
        </is>
      </c>
      <c r="X395" s="26" t="inlineStr">
        <is>
          <t>A highly versatile off-road 3-row suv that delivers generous space, modern safety tech, and daily utility.</t>
        </is>
      </c>
      <c r="Y395" s="27" t="inlineStr">
        <is>
          <t>https://hips.hearstapps.com/hmg-prod/images/2026-honda-pilot.jpg</t>
        </is>
      </c>
      <c r="Z395" s="27" t="inlineStr">
        <is>
          <t>https://www.caranddriver.com/honda/pilot</t>
        </is>
      </c>
      <c r="AA395" s="17" t="inlineStr">
        <is>
          <t>Car and Driver Editors' Choice</t>
        </is>
      </c>
    </row>
    <row r="396" ht="48" customHeight="1">
      <c r="A396" s="4" t="n">
        <v>2026</v>
      </c>
      <c r="B396" s="5" t="inlineStr">
        <is>
          <t>Hyundai</t>
        </is>
      </c>
      <c r="C396" s="5" t="inlineStr">
        <is>
          <t>Tucson</t>
        </is>
      </c>
      <c r="D396" s="5" t="inlineStr">
        <is>
          <t>XRT AWD</t>
        </is>
      </c>
      <c r="E396" s="5" t="inlineStr">
        <is>
          <t>Rugged Compact SUV</t>
        </is>
      </c>
      <c r="F396" s="5" t="inlineStr">
        <is>
          <t>Gasoline</t>
        </is>
      </c>
      <c r="G396" s="6" t="n">
        <v>36000</v>
      </c>
      <c r="H396" s="7" t="n">
        <v>187</v>
      </c>
      <c r="I396" s="7" t="n">
        <v>178</v>
      </c>
      <c r="J396" s="5" t="inlineStr">
        <is>
          <t>2.5L Smartstream I4</t>
        </is>
      </c>
      <c r="K396" s="8" t="n">
        <v>2.5</v>
      </c>
      <c r="L396" s="4" t="n">
        <v>4</v>
      </c>
      <c r="M396" s="5" t="inlineStr">
        <is>
          <t>8-Speed Auto</t>
        </is>
      </c>
      <c r="N396" s="4" t="inlineStr">
        <is>
          <t>HTRAC AWD</t>
        </is>
      </c>
      <c r="O396" s="4" t="inlineStr">
        <is>
          <t>26 (23/29)</t>
        </is>
      </c>
      <c r="P396" s="4" t="inlineStr">
        <is>
          <t>N/A</t>
        </is>
      </c>
      <c r="Q396" s="9" t="inlineStr">
        <is>
          <t>N/A</t>
        </is>
      </c>
      <c r="R396" s="4" t="n">
        <v>5</v>
      </c>
      <c r="S396" s="10" t="n">
        <v>38.7</v>
      </c>
      <c r="T396" s="7" t="n">
        <v>2000</v>
      </c>
      <c r="U396" s="11" t="inlineStr">
        <is>
          <t>8.0/10</t>
        </is>
      </c>
      <c r="V396" s="12" t="inlineStr">
        <is>
          <t xml:space="preserve"> • Spacious passenger and cargo room
 • Commanding elevated driving position
 • Confidence-inspiring all-weather grip</t>
        </is>
      </c>
      <c r="W396" s="13" t="inlineStr">
        <is>
          <t xml:space="preserve"> • Higher center of gravity than sedans
 • Fuel consumption under heavy load
 • Less engaging steering feel</t>
        </is>
      </c>
      <c r="X396" s="14" t="inlineStr">
        <is>
          <t>A highly versatile rugged compact suv that delivers generous space, modern safety tech, and daily utility.</t>
        </is>
      </c>
      <c r="Y396" s="15" t="inlineStr">
        <is>
          <t>https://hips.hearstapps.com/hmg-prod/images/2026-hyundai-tucson.jpg</t>
        </is>
      </c>
      <c r="Z396" s="15" t="inlineStr">
        <is>
          <t>https://www.caranddriver.com/hyundai/tucson</t>
        </is>
      </c>
      <c r="AA396" s="5" t="inlineStr">
        <is>
          <t>Car and Driver Buyer's Guide</t>
        </is>
      </c>
    </row>
    <row r="397" ht="48" customHeight="1">
      <c r="A397" s="16" t="n">
        <v>2026</v>
      </c>
      <c r="B397" s="17" t="inlineStr">
        <is>
          <t>Hyundai</t>
        </is>
      </c>
      <c r="C397" s="17" t="inlineStr">
        <is>
          <t>Santa Fe</t>
        </is>
      </c>
      <c r="D397" s="17" t="inlineStr">
        <is>
          <t>XRT AWD</t>
        </is>
      </c>
      <c r="E397" s="17" t="inlineStr">
        <is>
          <t>Off-Road 3-Row SUV</t>
        </is>
      </c>
      <c r="F397" s="17" t="inlineStr">
        <is>
          <t>Gasoline</t>
        </is>
      </c>
      <c r="G397" s="18" t="n">
        <v>42000</v>
      </c>
      <c r="H397" s="19" t="n">
        <v>277</v>
      </c>
      <c r="I397" s="19" t="n">
        <v>311</v>
      </c>
      <c r="J397" s="17" t="inlineStr">
        <is>
          <t>2.5L Turbo I4</t>
        </is>
      </c>
      <c r="K397" s="20" t="n">
        <v>2.5</v>
      </c>
      <c r="L397" s="16" t="n">
        <v>4</v>
      </c>
      <c r="M397" s="17" t="inlineStr">
        <is>
          <t>8-Speed Wet Dual-Clutch</t>
        </is>
      </c>
      <c r="N397" s="16" t="inlineStr">
        <is>
          <t>HTRAC AWD</t>
        </is>
      </c>
      <c r="O397" s="16" t="inlineStr">
        <is>
          <t>22 (19/26)</t>
        </is>
      </c>
      <c r="P397" s="16" t="inlineStr">
        <is>
          <t>N/A</t>
        </is>
      </c>
      <c r="Q397" s="21" t="inlineStr">
        <is>
          <t>N/A</t>
        </is>
      </c>
      <c r="R397" s="16" t="n">
        <v>7</v>
      </c>
      <c r="S397" s="22" t="n">
        <v>14.6</v>
      </c>
      <c r="T397" s="19" t="n">
        <v>4500</v>
      </c>
      <c r="U397" s="28" t="inlineStr">
        <is>
          <t>9.0/10</t>
        </is>
      </c>
      <c r="V397" s="24" t="inlineStr">
        <is>
          <t xml:space="preserve"> • Spacious passenger and cargo room
 • Commanding elevated driving position
 • Confidence-inspiring all-weather grip</t>
        </is>
      </c>
      <c r="W397" s="25" t="inlineStr">
        <is>
          <t xml:space="preserve"> • Higher center of gravity than sedans
 • Fuel consumption under heavy load
 • Less engaging steering feel</t>
        </is>
      </c>
      <c r="X397" s="26" t="inlineStr">
        <is>
          <t>A highly versatile off-road 3-row suv that delivers generous space, modern safety tech, and daily utility.</t>
        </is>
      </c>
      <c r="Y397" s="27" t="inlineStr">
        <is>
          <t>https://hips.hearstapps.com/hmg-prod/images/2026-hyundai-santa-fe.jpg</t>
        </is>
      </c>
      <c r="Z397" s="27" t="inlineStr">
        <is>
          <t>https://www.caranddriver.com/hyundai/santa-fe</t>
        </is>
      </c>
      <c r="AA397" s="17" t="inlineStr">
        <is>
          <t>Car and Driver 10Best</t>
        </is>
      </c>
    </row>
    <row r="398" ht="48" customHeight="1">
      <c r="A398" s="4" t="n">
        <v>2026</v>
      </c>
      <c r="B398" s="5" t="inlineStr">
        <is>
          <t>Kia</t>
        </is>
      </c>
      <c r="C398" s="5" t="inlineStr">
        <is>
          <t>Sportage</t>
        </is>
      </c>
      <c r="D398" s="5" t="inlineStr">
        <is>
          <t>X-Pro Prestige AWD</t>
        </is>
      </c>
      <c r="E398" s="5" t="inlineStr">
        <is>
          <t>Rugged Compact SUV</t>
        </is>
      </c>
      <c r="F398" s="5" t="inlineStr">
        <is>
          <t>Gasoline</t>
        </is>
      </c>
      <c r="G398" s="6" t="n">
        <v>39000</v>
      </c>
      <c r="H398" s="7" t="n">
        <v>187</v>
      </c>
      <c r="I398" s="7" t="n">
        <v>178</v>
      </c>
      <c r="J398" s="5" t="inlineStr">
        <is>
          <t>2.5L Smartstream I4</t>
        </is>
      </c>
      <c r="K398" s="8" t="n">
        <v>2.5</v>
      </c>
      <c r="L398" s="4" t="n">
        <v>4</v>
      </c>
      <c r="M398" s="5" t="inlineStr">
        <is>
          <t>8-Speed Auto</t>
        </is>
      </c>
      <c r="N398" s="4" t="inlineStr">
        <is>
          <t>Active AWD</t>
        </is>
      </c>
      <c r="O398" s="4" t="inlineStr">
        <is>
          <t>25 (23/28)</t>
        </is>
      </c>
      <c r="P398" s="4" t="inlineStr">
        <is>
          <t>N/A</t>
        </is>
      </c>
      <c r="Q398" s="9" t="inlineStr">
        <is>
          <t>N/A</t>
        </is>
      </c>
      <c r="R398" s="4" t="n">
        <v>5</v>
      </c>
      <c r="S398" s="10" t="n">
        <v>39.5</v>
      </c>
      <c r="T398" s="7" t="n">
        <v>2500</v>
      </c>
      <c r="U398" s="11" t="inlineStr">
        <is>
          <t>8.5/10</t>
        </is>
      </c>
      <c r="V398" s="12" t="inlineStr">
        <is>
          <t xml:space="preserve"> • Spacious passenger and cargo room
 • Commanding elevated driving position
 • Confidence-inspiring all-weather grip</t>
        </is>
      </c>
      <c r="W398" s="13" t="inlineStr">
        <is>
          <t xml:space="preserve"> • Higher center of gravity than sedans
 • Fuel consumption under heavy load
 • Less engaging steering feel</t>
        </is>
      </c>
      <c r="X398" s="14" t="inlineStr">
        <is>
          <t>A highly versatile rugged compact suv that delivers generous space, modern safety tech, and daily utility.</t>
        </is>
      </c>
      <c r="Y398" s="15" t="inlineStr">
        <is>
          <t>https://hips.hearstapps.com/hmg-prod/images/2026-kia-sportage.jpg</t>
        </is>
      </c>
      <c r="Z398" s="15" t="inlineStr">
        <is>
          <t>https://www.caranddriver.com/kia/sportage</t>
        </is>
      </c>
      <c r="AA398" s="5" t="inlineStr">
        <is>
          <t>Car and Driver Buyer's Guide</t>
        </is>
      </c>
    </row>
    <row r="399" ht="48" customHeight="1">
      <c r="A399" s="16" t="n">
        <v>2026</v>
      </c>
      <c r="B399" s="17" t="inlineStr">
        <is>
          <t>Kia</t>
        </is>
      </c>
      <c r="C399" s="17" t="inlineStr">
        <is>
          <t>Sorento</t>
        </is>
      </c>
      <c r="D399" s="17" t="inlineStr">
        <is>
          <t>EX Hybrid AWD</t>
        </is>
      </c>
      <c r="E399" s="17" t="inlineStr">
        <is>
          <t>3-Row Mid-Size Hybrid SUV</t>
        </is>
      </c>
      <c r="F399" s="17" t="inlineStr">
        <is>
          <t>Gas-Electric Hybrid</t>
        </is>
      </c>
      <c r="G399" s="18" t="n">
        <v>41000</v>
      </c>
      <c r="H399" s="19" t="n">
        <v>227</v>
      </c>
      <c r="I399" s="19" t="n">
        <v>258</v>
      </c>
      <c r="J399" s="17" t="inlineStr">
        <is>
          <t>1.6L Turbo I4 + Motor</t>
        </is>
      </c>
      <c r="K399" s="20" t="n">
        <v>1.6</v>
      </c>
      <c r="L399" s="16" t="n">
        <v>4</v>
      </c>
      <c r="M399" s="17" t="inlineStr">
        <is>
          <t>6-Speed Auto</t>
        </is>
      </c>
      <c r="N399" s="16" t="inlineStr">
        <is>
          <t>AWD</t>
        </is>
      </c>
      <c r="O399" s="16" t="inlineStr">
        <is>
          <t>34 (34/34)</t>
        </is>
      </c>
      <c r="P399" s="16" t="inlineStr">
        <is>
          <t>N/A</t>
        </is>
      </c>
      <c r="Q399" s="22" t="n">
        <v>1.49</v>
      </c>
      <c r="R399" s="16" t="n">
        <v>6</v>
      </c>
      <c r="S399" s="22" t="n">
        <v>12.6</v>
      </c>
      <c r="T399" s="19" t="n">
        <v>2000</v>
      </c>
      <c r="U399" s="28" t="inlineStr">
        <is>
          <t>8.5/10</t>
        </is>
      </c>
      <c r="V399" s="24" t="inlineStr">
        <is>
          <t xml:space="preserve"> • Superb real-world fuel economy
 • Smooth electric-gas power handover
 • No range anxiety on long trips</t>
        </is>
      </c>
      <c r="W399" s="25" t="inlineStr">
        <is>
          <t xml:space="preserve"> • Added curb weight from battery packs
 • Slightly compromised cargo space
 • eCVT engine flare during passing</t>
        </is>
      </c>
      <c r="X399" s="26" t="inlineStr">
        <is>
          <t>A finely engineered gas-electric hybrid 3-row mid-size hybrid suv striking the optimal balance between high efficiency and long-distance practicality.</t>
        </is>
      </c>
      <c r="Y399" s="27" t="inlineStr">
        <is>
          <t>https://hips.hearstapps.com/hmg-prod/images/2026-kia-sorento.jpg</t>
        </is>
      </c>
      <c r="Z399" s="27" t="inlineStr">
        <is>
          <t>https://www.caranddriver.com/kia/sorento</t>
        </is>
      </c>
      <c r="AA399" s="17" t="inlineStr">
        <is>
          <t>Car and Driver Buyer's Guide</t>
        </is>
      </c>
    </row>
    <row r="400" ht="48" customHeight="1">
      <c r="A400" s="4" t="n">
        <v>2026</v>
      </c>
      <c r="B400" s="5" t="inlineStr">
        <is>
          <t>Kia</t>
        </is>
      </c>
      <c r="C400" s="5" t="inlineStr">
        <is>
          <t>EV9</t>
        </is>
      </c>
      <c r="D400" s="5" t="inlineStr">
        <is>
          <t>GT-Line AWD</t>
        </is>
      </c>
      <c r="E400" s="5" t="inlineStr">
        <is>
          <t>Flagship 3-Row EV SUV</t>
        </is>
      </c>
      <c r="F400" s="5" t="inlineStr">
        <is>
          <t>Electric</t>
        </is>
      </c>
      <c r="G400" s="6" t="n">
        <v>75500</v>
      </c>
      <c r="H400" s="7" t="n">
        <v>379</v>
      </c>
      <c r="I400" s="7" t="n">
        <v>516</v>
      </c>
      <c r="J400" s="5" t="inlineStr">
        <is>
          <t>Dual Motors w/ Boost</t>
        </is>
      </c>
      <c r="K400" s="4" t="inlineStr">
        <is>
          <t>N/A</t>
        </is>
      </c>
      <c r="L400" s="4" t="n">
        <v>0</v>
      </c>
      <c r="M400" s="5" t="inlineStr">
        <is>
          <t>1-Speed Direct</t>
        </is>
      </c>
      <c r="N400" s="4" t="inlineStr">
        <is>
          <t>AWD</t>
        </is>
      </c>
      <c r="O400" s="4" t="inlineStr">
        <is>
          <t>80 MPGe</t>
        </is>
      </c>
      <c r="P400" s="4" t="inlineStr">
        <is>
          <t>270</t>
        </is>
      </c>
      <c r="Q400" s="10" t="n">
        <v>99.8</v>
      </c>
      <c r="R400" s="4" t="n">
        <v>6</v>
      </c>
      <c r="S400" s="10" t="n">
        <v>20.2</v>
      </c>
      <c r="T400" s="7" t="n">
        <v>5000</v>
      </c>
      <c r="U400" s="29" t="inlineStr">
        <is>
          <t>10/10</t>
        </is>
      </c>
      <c r="V400" s="12" t="inlineStr">
        <is>
          <t xml:space="preserve"> • Ultra-fast 800V DC fast-charging
 • Distinctive concept-car retro design
 • Vast, open interior architecture</t>
        </is>
      </c>
      <c r="W400" s="13" t="inlineStr">
        <is>
          <t xml:space="preserve"> • Rear wiper omitted on earlier models
 • Polarizing styling for some buyers
 • Real-world cold weather range drops</t>
        </is>
      </c>
      <c r="X400" s="14" t="inlineStr">
        <is>
          <t>Groundbreaking EV architecture with super-fast charging speeds and design that turns heads everywhere.</t>
        </is>
      </c>
      <c r="Y400" s="15" t="inlineStr">
        <is>
          <t>https://hips.hearstapps.com/hmg-prod/images/2026-kia-ev9.jpg</t>
        </is>
      </c>
      <c r="Z400" s="15" t="inlineStr">
        <is>
          <t>https://www.caranddriver.com/kia/ev9</t>
        </is>
      </c>
      <c r="AA400" s="5" t="inlineStr">
        <is>
          <t>Car and Driver 10Best Winner</t>
        </is>
      </c>
    </row>
    <row r="401" ht="48" customHeight="1">
      <c r="A401" s="16" t="n">
        <v>2026</v>
      </c>
      <c r="B401" s="17" t="inlineStr">
        <is>
          <t>BMW</t>
        </is>
      </c>
      <c r="C401" s="17" t="inlineStr">
        <is>
          <t>4-Series</t>
        </is>
      </c>
      <c r="D401" s="17" t="inlineStr">
        <is>
          <t>M440i xDrive Coupe</t>
        </is>
      </c>
      <c r="E401" s="17" t="inlineStr">
        <is>
          <t>Compact Executive Coupe</t>
        </is>
      </c>
      <c r="F401" s="17" t="inlineStr">
        <is>
          <t>Mild Hybrid</t>
        </is>
      </c>
      <c r="G401" s="18" t="n">
        <v>66500</v>
      </c>
      <c r="H401" s="19" t="n">
        <v>386</v>
      </c>
      <c r="I401" s="19" t="n">
        <v>398</v>
      </c>
      <c r="J401" s="17" t="inlineStr">
        <is>
          <t>3.0L Turbo I6 (B58)</t>
        </is>
      </c>
      <c r="K401" s="20" t="n">
        <v>3</v>
      </c>
      <c r="L401" s="16" t="n">
        <v>6</v>
      </c>
      <c r="M401" s="17" t="inlineStr">
        <is>
          <t>8-Speed Sport Auto</t>
        </is>
      </c>
      <c r="N401" s="16" t="inlineStr">
        <is>
          <t>xDrive AWD</t>
        </is>
      </c>
      <c r="O401" s="16" t="inlineStr">
        <is>
          <t>26 (23/31)</t>
        </is>
      </c>
      <c r="P401" s="16" t="inlineStr">
        <is>
          <t>N/A</t>
        </is>
      </c>
      <c r="Q401" s="21" t="inlineStr">
        <is>
          <t>N/A</t>
        </is>
      </c>
      <c r="R401" s="16" t="n">
        <v>4</v>
      </c>
      <c r="S401" s="22" t="n">
        <v>12</v>
      </c>
      <c r="T401" s="16" t="inlineStr">
        <is>
          <t>N/A</t>
        </is>
      </c>
      <c r="U401" s="28" t="inlineStr">
        <is>
          <t>9.0/10</t>
        </is>
      </c>
      <c r="V401" s="24" t="inlineStr">
        <is>
          <t xml:space="preserve"> • Superb real-world fuel economy
 • Smooth electric-gas power handover
 • No range anxiety on long trips</t>
        </is>
      </c>
      <c r="W401" s="25" t="inlineStr">
        <is>
          <t xml:space="preserve"> • Added curb weight from battery packs
 • Slightly compromised cargo space
 • eCVT engine flare during passing</t>
        </is>
      </c>
      <c r="X401" s="26" t="inlineStr">
        <is>
          <t>A finely engineered mild hybrid compact executive coupe striking the optimal balance between high efficiency and long-distance practicality.</t>
        </is>
      </c>
      <c r="Y401" s="27" t="inlineStr">
        <is>
          <t>https://hips.hearstapps.com/hmg-prod/images/2026-bmw-4-series.jpg</t>
        </is>
      </c>
      <c r="Z401" s="27" t="inlineStr">
        <is>
          <t>https://www.caranddriver.com/bmw/4-series</t>
        </is>
      </c>
      <c r="AA401" s="17" t="inlineStr">
        <is>
          <t>Car and Driver Editors' Choice</t>
        </is>
      </c>
    </row>
    <row r="402" ht="48" customHeight="1">
      <c r="A402" s="4" t="n">
        <v>2026</v>
      </c>
      <c r="B402" s="5" t="inlineStr">
        <is>
          <t>BMW</t>
        </is>
      </c>
      <c r="C402" s="5" t="inlineStr">
        <is>
          <t>X3</t>
        </is>
      </c>
      <c r="D402" s="5" t="inlineStr">
        <is>
          <t>xDrive30</t>
        </is>
      </c>
      <c r="E402" s="5" t="inlineStr">
        <is>
          <t>Compact Luxury SUV</t>
        </is>
      </c>
      <c r="F402" s="5" t="inlineStr">
        <is>
          <t>Mild Hybrid</t>
        </is>
      </c>
      <c r="G402" s="6" t="n">
        <v>50675</v>
      </c>
      <c r="H402" s="7" t="n">
        <v>255</v>
      </c>
      <c r="I402" s="7" t="n">
        <v>295</v>
      </c>
      <c r="J402" s="5" t="inlineStr">
        <is>
          <t>2.0L Turbo I4 48V</t>
        </is>
      </c>
      <c r="K402" s="8" t="n">
        <v>2</v>
      </c>
      <c r="L402" s="4" t="n">
        <v>4</v>
      </c>
      <c r="M402" s="5" t="inlineStr">
        <is>
          <t>8-Speed Sport Auto</t>
        </is>
      </c>
      <c r="N402" s="4" t="inlineStr">
        <is>
          <t>xDrive AWD</t>
        </is>
      </c>
      <c r="O402" s="4" t="inlineStr">
        <is>
          <t>29 (27/33)</t>
        </is>
      </c>
      <c r="P402" s="4" t="inlineStr">
        <is>
          <t>N/A</t>
        </is>
      </c>
      <c r="Q402" s="9" t="inlineStr">
        <is>
          <t>N/A</t>
        </is>
      </c>
      <c r="R402" s="4" t="n">
        <v>5</v>
      </c>
      <c r="S402" s="10" t="n">
        <v>31.5</v>
      </c>
      <c r="T402" s="7" t="n">
        <v>4000</v>
      </c>
      <c r="U402" s="11" t="inlineStr">
        <is>
          <t>9.0/10</t>
        </is>
      </c>
      <c r="V402" s="12" t="inlineStr">
        <is>
          <t xml:space="preserve"> • Superb real-world fuel economy
 • Smooth electric-gas power handover
 • No range anxiety on long trips</t>
        </is>
      </c>
      <c r="W402" s="13" t="inlineStr">
        <is>
          <t xml:space="preserve"> • Added curb weight from battery packs
 • Slightly compromised cargo space
 • eCVT engine flare during passing</t>
        </is>
      </c>
      <c r="X402" s="14" t="inlineStr">
        <is>
          <t>A finely engineered mild hybrid compact luxury suv striking the optimal balance between high efficiency and long-distance practicality.</t>
        </is>
      </c>
      <c r="Y402" s="15" t="inlineStr">
        <is>
          <t>https://hips.hearstapps.com/hmg-prod/images/2026-bmw-x3.jpg</t>
        </is>
      </c>
      <c r="Z402" s="15" t="inlineStr">
        <is>
          <t>https://www.caranddriver.com/bmw/x3</t>
        </is>
      </c>
      <c r="AA402" s="5" t="inlineStr">
        <is>
          <t>Car and Driver Editors' Choice</t>
        </is>
      </c>
    </row>
    <row r="403" ht="48" customHeight="1">
      <c r="A403" s="16" t="n">
        <v>2026</v>
      </c>
      <c r="B403" s="17" t="inlineStr">
        <is>
          <t>BMW</t>
        </is>
      </c>
      <c r="C403" s="17" t="inlineStr">
        <is>
          <t>X5</t>
        </is>
      </c>
      <c r="D403" s="17" t="inlineStr">
        <is>
          <t>sDrive40i</t>
        </is>
      </c>
      <c r="E403" s="17" t="inlineStr">
        <is>
          <t>Mid-Size Luxury SUV</t>
        </is>
      </c>
      <c r="F403" s="17" t="inlineStr">
        <is>
          <t>Mild Hybrid</t>
        </is>
      </c>
      <c r="G403" s="18" t="n">
        <v>66800</v>
      </c>
      <c r="H403" s="19" t="n">
        <v>375</v>
      </c>
      <c r="I403" s="19" t="n">
        <v>398</v>
      </c>
      <c r="J403" s="17" t="inlineStr">
        <is>
          <t>3.0L Turbo I6 48V</t>
        </is>
      </c>
      <c r="K403" s="20" t="n">
        <v>3</v>
      </c>
      <c r="L403" s="16" t="n">
        <v>6</v>
      </c>
      <c r="M403" s="17" t="inlineStr">
        <is>
          <t>8-Speed Sport Auto</t>
        </is>
      </c>
      <c r="N403" s="16" t="inlineStr">
        <is>
          <t>RWD</t>
        </is>
      </c>
      <c r="O403" s="16" t="inlineStr">
        <is>
          <t>25 (23/27)</t>
        </is>
      </c>
      <c r="P403" s="16" t="inlineStr">
        <is>
          <t>N/A</t>
        </is>
      </c>
      <c r="Q403" s="21" t="inlineStr">
        <is>
          <t>N/A</t>
        </is>
      </c>
      <c r="R403" s="16" t="n">
        <v>5</v>
      </c>
      <c r="S403" s="22" t="n">
        <v>33.9</v>
      </c>
      <c r="T403" s="19" t="n">
        <v>7200</v>
      </c>
      <c r="U403" s="23" t="inlineStr">
        <is>
          <t>9.5/10</t>
        </is>
      </c>
      <c r="V403" s="24" t="inlineStr">
        <is>
          <t xml:space="preserve"> • Superb real-world fuel economy
 • Smooth electric-gas power handover
 • No range anxiety on long trips</t>
        </is>
      </c>
      <c r="W403" s="25" t="inlineStr">
        <is>
          <t xml:space="preserve"> • Added curb weight from battery packs
 • Slightly compromised cargo space
 • eCVT engine flare during passing</t>
        </is>
      </c>
      <c r="X403" s="26" t="inlineStr">
        <is>
          <t>A finely engineered mild hybrid mid-size luxury suv striking the optimal balance between high efficiency and long-distance practicality.</t>
        </is>
      </c>
      <c r="Y403" s="27" t="inlineStr">
        <is>
          <t>https://hips.hearstapps.com/hmg-prod/images/2026-bmw-x5.jpg</t>
        </is>
      </c>
      <c r="Z403" s="27" t="inlineStr">
        <is>
          <t>https://www.caranddriver.com/bmw/x5</t>
        </is>
      </c>
      <c r="AA403" s="17" t="inlineStr">
        <is>
          <t>Car and Driver 10Best</t>
        </is>
      </c>
    </row>
    <row r="404" ht="48" customHeight="1">
      <c r="A404" s="4" t="n">
        <v>2026</v>
      </c>
      <c r="B404" s="5" t="inlineStr">
        <is>
          <t>Mercedes-Benz</t>
        </is>
      </c>
      <c r="C404" s="5" t="inlineStr">
        <is>
          <t>GLC-Class</t>
        </is>
      </c>
      <c r="D404" s="5" t="inlineStr">
        <is>
          <t>GLC300 4MATIC</t>
        </is>
      </c>
      <c r="E404" s="5" t="inlineStr">
        <is>
          <t>Compact Luxury SUV</t>
        </is>
      </c>
      <c r="F404" s="5" t="inlineStr">
        <is>
          <t>Mild Hybrid</t>
        </is>
      </c>
      <c r="G404" s="6" t="n">
        <v>49500</v>
      </c>
      <c r="H404" s="7" t="n">
        <v>255</v>
      </c>
      <c r="I404" s="7" t="n">
        <v>295</v>
      </c>
      <c r="J404" s="5" t="inlineStr">
        <is>
          <t>2.0L Turbo I4 48V</t>
        </is>
      </c>
      <c r="K404" s="8" t="n">
        <v>2</v>
      </c>
      <c r="L404" s="4" t="n">
        <v>4</v>
      </c>
      <c r="M404" s="5" t="inlineStr">
        <is>
          <t>9-Speed Auto</t>
        </is>
      </c>
      <c r="N404" s="4" t="inlineStr">
        <is>
          <t>4MATIC AWD</t>
        </is>
      </c>
      <c r="O404" s="4" t="inlineStr">
        <is>
          <t>26 (23/31)</t>
        </is>
      </c>
      <c r="P404" s="4" t="inlineStr">
        <is>
          <t>N/A</t>
        </is>
      </c>
      <c r="Q404" s="9" t="inlineStr">
        <is>
          <t>N/A</t>
        </is>
      </c>
      <c r="R404" s="4" t="n">
        <v>5</v>
      </c>
      <c r="S404" s="10" t="n">
        <v>21.9</v>
      </c>
      <c r="T404" s="7" t="n">
        <v>3500</v>
      </c>
      <c r="U404" s="11" t="inlineStr">
        <is>
          <t>8.5/10</t>
        </is>
      </c>
      <c r="V404" s="12" t="inlineStr">
        <is>
          <t xml:space="preserve"> • Superb real-world fuel economy
 • Smooth electric-gas power handover
 • No range anxiety on long trips</t>
        </is>
      </c>
      <c r="W404" s="13" t="inlineStr">
        <is>
          <t xml:space="preserve"> • Added curb weight from battery packs
 • Slightly compromised cargo space
 • eCVT engine flare during passing</t>
        </is>
      </c>
      <c r="X404" s="14" t="inlineStr">
        <is>
          <t>A finely engineered mild hybrid compact luxury suv striking the optimal balance between high efficiency and long-distance practicality.</t>
        </is>
      </c>
      <c r="Y404" s="15" t="inlineStr">
        <is>
          <t>https://hips.hearstapps.com/hmg-prod/images/2026-mercedes-benz-glc-class.jpg</t>
        </is>
      </c>
      <c r="Z404" s="15" t="inlineStr">
        <is>
          <t>https://www.caranddriver.com/mercedes-benz/glc-class</t>
        </is>
      </c>
      <c r="AA404" s="5" t="inlineStr">
        <is>
          <t>Car and Driver Buyer's Guide</t>
        </is>
      </c>
    </row>
    <row r="405" ht="48" customHeight="1">
      <c r="A405" s="16" t="n">
        <v>2026</v>
      </c>
      <c r="B405" s="17" t="inlineStr">
        <is>
          <t>Mercedes-Benz</t>
        </is>
      </c>
      <c r="C405" s="17" t="inlineStr">
        <is>
          <t>GLE-Class</t>
        </is>
      </c>
      <c r="D405" s="17" t="inlineStr">
        <is>
          <t>GLE350 4MATIC</t>
        </is>
      </c>
      <c r="E405" s="17" t="inlineStr">
        <is>
          <t>Mid-Size Luxury SUV</t>
        </is>
      </c>
      <c r="F405" s="17" t="inlineStr">
        <is>
          <t>Mild Hybrid</t>
        </is>
      </c>
      <c r="G405" s="18" t="n">
        <v>64500</v>
      </c>
      <c r="H405" s="19" t="n">
        <v>255</v>
      </c>
      <c r="I405" s="19" t="n">
        <v>295</v>
      </c>
      <c r="J405" s="17" t="inlineStr">
        <is>
          <t>2.0L Turbo I4 48V</t>
        </is>
      </c>
      <c r="K405" s="20" t="n">
        <v>2</v>
      </c>
      <c r="L405" s="16" t="n">
        <v>4</v>
      </c>
      <c r="M405" s="17" t="inlineStr">
        <is>
          <t>9-Speed Auto</t>
        </is>
      </c>
      <c r="N405" s="16" t="inlineStr">
        <is>
          <t>4MATIC AWD</t>
        </is>
      </c>
      <c r="O405" s="16" t="inlineStr">
        <is>
          <t>23 (20/27)</t>
        </is>
      </c>
      <c r="P405" s="16" t="inlineStr">
        <is>
          <t>N/A</t>
        </is>
      </c>
      <c r="Q405" s="21" t="inlineStr">
        <is>
          <t>N/A</t>
        </is>
      </c>
      <c r="R405" s="16" t="n">
        <v>7</v>
      </c>
      <c r="S405" s="22" t="n">
        <v>33.3</v>
      </c>
      <c r="T405" s="19" t="n">
        <v>7700</v>
      </c>
      <c r="U405" s="28" t="inlineStr">
        <is>
          <t>8.5/10</t>
        </is>
      </c>
      <c r="V405" s="24" t="inlineStr">
        <is>
          <t xml:space="preserve"> • Superb real-world fuel economy
 • Smooth electric-gas power handover
 • No range anxiety on long trips</t>
        </is>
      </c>
      <c r="W405" s="25" t="inlineStr">
        <is>
          <t xml:space="preserve"> • Added curb weight from battery packs
 • Slightly compromised cargo space
 • eCVT engine flare during passing</t>
        </is>
      </c>
      <c r="X405" s="26" t="inlineStr">
        <is>
          <t>A finely engineered mild hybrid mid-size luxury suv striking the optimal balance between high efficiency and long-distance practicality.</t>
        </is>
      </c>
      <c r="Y405" s="27" t="inlineStr">
        <is>
          <t>https://hips.hearstapps.com/hmg-prod/images/2026-mercedes-benz-gle-class.jpg</t>
        </is>
      </c>
      <c r="Z405" s="27" t="inlineStr">
        <is>
          <t>https://www.caranddriver.com/mercedes-benz/gle-class</t>
        </is>
      </c>
      <c r="AA405" s="17" t="inlineStr">
        <is>
          <t>Car and Driver Buyer's Guide</t>
        </is>
      </c>
    </row>
    <row r="406" ht="48" customHeight="1">
      <c r="A406" s="4" t="n">
        <v>2026</v>
      </c>
      <c r="B406" s="5" t="inlineStr">
        <is>
          <t>Audi</t>
        </is>
      </c>
      <c r="C406" s="5" t="inlineStr">
        <is>
          <t>Q5</t>
        </is>
      </c>
      <c r="D406" s="5" t="inlineStr">
        <is>
          <t>Sportback 45 TFSI</t>
        </is>
      </c>
      <c r="E406" s="5" t="inlineStr">
        <is>
          <t>Compact SUV Coupe</t>
        </is>
      </c>
      <c r="F406" s="5" t="inlineStr">
        <is>
          <t>Mild Hybrid</t>
        </is>
      </c>
      <c r="G406" s="6" t="n">
        <v>54000</v>
      </c>
      <c r="H406" s="7" t="n">
        <v>268</v>
      </c>
      <c r="I406" s="7" t="n">
        <v>295</v>
      </c>
      <c r="J406" s="5" t="inlineStr">
        <is>
          <t>2.0L Turbo I4</t>
        </is>
      </c>
      <c r="K406" s="8" t="n">
        <v>2</v>
      </c>
      <c r="L406" s="4" t="n">
        <v>4</v>
      </c>
      <c r="M406" s="5" t="inlineStr">
        <is>
          <t>7-Speed DSG</t>
        </is>
      </c>
      <c r="N406" s="4" t="inlineStr">
        <is>
          <t>quattro AWD</t>
        </is>
      </c>
      <c r="O406" s="4" t="inlineStr">
        <is>
          <t>26 (23/29)</t>
        </is>
      </c>
      <c r="P406" s="4" t="inlineStr">
        <is>
          <t>N/A</t>
        </is>
      </c>
      <c r="Q406" s="9" t="inlineStr">
        <is>
          <t>N/A</t>
        </is>
      </c>
      <c r="R406" s="4" t="n">
        <v>5</v>
      </c>
      <c r="S406" s="10" t="n">
        <v>24.7</v>
      </c>
      <c r="T406" s="7" t="n">
        <v>4400</v>
      </c>
      <c r="U406" s="11" t="inlineStr">
        <is>
          <t>8.5/10</t>
        </is>
      </c>
      <c r="V406" s="12" t="inlineStr">
        <is>
          <t xml:space="preserve"> • Superb real-world fuel economy
 • Smooth electric-gas power handover
 • No range anxiety on long trips</t>
        </is>
      </c>
      <c r="W406" s="13" t="inlineStr">
        <is>
          <t xml:space="preserve"> • Added curb weight from battery packs
 • Slightly compromised cargo space
 • eCVT engine flare during passing</t>
        </is>
      </c>
      <c r="X406" s="14" t="inlineStr">
        <is>
          <t>A finely engineered mild hybrid compact suv coupe striking the optimal balance between high efficiency and long-distance practicality.</t>
        </is>
      </c>
      <c r="Y406" s="15" t="inlineStr">
        <is>
          <t>https://hips.hearstapps.com/hmg-prod/images/2026-audi-q5.jpg</t>
        </is>
      </c>
      <c r="Z406" s="15" t="inlineStr">
        <is>
          <t>https://www.caranddriver.com/audi/q5-sportback</t>
        </is>
      </c>
      <c r="AA406" s="5" t="inlineStr">
        <is>
          <t>Car and Driver Buyer's Guide</t>
        </is>
      </c>
    </row>
    <row r="407" ht="48" customHeight="1">
      <c r="A407" s="16" t="n">
        <v>2026</v>
      </c>
      <c r="B407" s="17" t="inlineStr">
        <is>
          <t>Audi</t>
        </is>
      </c>
      <c r="C407" s="17" t="inlineStr">
        <is>
          <t>e-tron GT</t>
        </is>
      </c>
      <c r="D407" s="17" t="inlineStr">
        <is>
          <t>RS e-tron GT Ice</t>
        </is>
      </c>
      <c r="E407" s="17" t="inlineStr">
        <is>
          <t>Electric Super GT</t>
        </is>
      </c>
      <c r="F407" s="17" t="inlineStr">
        <is>
          <t>Electric</t>
        </is>
      </c>
      <c r="G407" s="18" t="n">
        <v>155000</v>
      </c>
      <c r="H407" s="19" t="n">
        <v>637</v>
      </c>
      <c r="I407" s="19" t="n">
        <v>612</v>
      </c>
      <c r="J407" s="17" t="inlineStr">
        <is>
          <t>Dual Electric Motors</t>
        </is>
      </c>
      <c r="K407" s="16" t="inlineStr">
        <is>
          <t>N/A</t>
        </is>
      </c>
      <c r="L407" s="16" t="n">
        <v>0</v>
      </c>
      <c r="M407" s="17" t="inlineStr">
        <is>
          <t>2-Speed Rear / 1-Speed Front</t>
        </is>
      </c>
      <c r="N407" s="16" t="inlineStr">
        <is>
          <t>quattro AWD</t>
        </is>
      </c>
      <c r="O407" s="16" t="inlineStr">
        <is>
          <t>85 MPGe</t>
        </is>
      </c>
      <c r="P407" s="16" t="inlineStr">
        <is>
          <t>249</t>
        </is>
      </c>
      <c r="Q407" s="22" t="n">
        <v>93.40000000000001</v>
      </c>
      <c r="R407" s="16" t="n">
        <v>4</v>
      </c>
      <c r="S407" s="22" t="n">
        <v>9.199999999999999</v>
      </c>
      <c r="T407" s="16" t="inlineStr">
        <is>
          <t>N/A</t>
        </is>
      </c>
      <c r="U407" s="28" t="inlineStr">
        <is>
          <t>9.0/10</t>
        </is>
      </c>
      <c r="V407" s="24" t="inlineStr">
        <is>
          <t xml:space="preserve"> • Silent, instantaneous acceleration
 • Low center of gravity enhances stability
 • Zero tailpipe emissions</t>
        </is>
      </c>
      <c r="W407" s="25" t="inlineStr">
        <is>
          <t xml:space="preserve"> • Highway range drops at sustained speed
 • Public charging network variability
 • Pricier initial purchase cost</t>
        </is>
      </c>
      <c r="X407" s="26" t="inlineStr">
        <is>
          <t>A compelling electric entry in the electric super gt segment offering smooth power delivery and advanced tech.</t>
        </is>
      </c>
      <c r="Y407" s="27" t="inlineStr">
        <is>
          <t>https://hips.hearstapps.com/hmg-prod/images/2026-audi-e-tron-gt.jpg</t>
        </is>
      </c>
      <c r="Z407" s="27" t="inlineStr">
        <is>
          <t>https://www.caranddriver.com/audi/rs-e-tron-gt</t>
        </is>
      </c>
      <c r="AA407" s="17" t="inlineStr">
        <is>
          <t>Car and Driver Editors' Choice</t>
        </is>
      </c>
    </row>
    <row r="408" ht="48" customHeight="1">
      <c r="A408" s="4" t="n">
        <v>2026</v>
      </c>
      <c r="B408" s="5" t="inlineStr">
        <is>
          <t>Porsche</t>
        </is>
      </c>
      <c r="C408" s="5" t="inlineStr">
        <is>
          <t>911</t>
        </is>
      </c>
      <c r="D408" s="5" t="inlineStr">
        <is>
          <t>Carrera 4S Coupe</t>
        </is>
      </c>
      <c r="E408" s="5" t="inlineStr">
        <is>
          <t>All-Wheel Drive Sports Car</t>
        </is>
      </c>
      <c r="F408" s="5" t="inlineStr">
        <is>
          <t>Gasoline</t>
        </is>
      </c>
      <c r="G408" s="6" t="n">
        <v>140000</v>
      </c>
      <c r="H408" s="7" t="n">
        <v>443</v>
      </c>
      <c r="I408" s="7" t="n">
        <v>390</v>
      </c>
      <c r="J408" s="5" t="inlineStr">
        <is>
          <t>3.0L Twin-Turbo Flat-6</t>
        </is>
      </c>
      <c r="K408" s="8" t="n">
        <v>3</v>
      </c>
      <c r="L408" s="4" t="n">
        <v>6</v>
      </c>
      <c r="M408" s="5" t="inlineStr">
        <is>
          <t>8-Speed PDK</t>
        </is>
      </c>
      <c r="N408" s="4" t="inlineStr">
        <is>
          <t>AWD</t>
        </is>
      </c>
      <c r="O408" s="4" t="inlineStr">
        <is>
          <t>20 (18/23)</t>
        </is>
      </c>
      <c r="P408" s="4" t="inlineStr">
        <is>
          <t>N/A</t>
        </is>
      </c>
      <c r="Q408" s="9" t="inlineStr">
        <is>
          <t>N/A</t>
        </is>
      </c>
      <c r="R408" s="4" t="n">
        <v>4</v>
      </c>
      <c r="S408" s="10" t="n">
        <v>4.6</v>
      </c>
      <c r="T408" s="4" t="inlineStr">
        <is>
          <t>N/A</t>
        </is>
      </c>
      <c r="U408" s="29" t="inlineStr">
        <is>
          <t>10/10</t>
        </is>
      </c>
      <c r="V408" s="12" t="inlineStr">
        <is>
          <t xml:space="preserve"> • Benchmark sports car ergonomics
 • Daily-driver usability and visibility
 • Exceptional resale value</t>
        </is>
      </c>
      <c r="W408" s="13" t="inlineStr">
        <is>
          <t xml:space="preserve"> • Steep base and options prices
 • Tiny rear jump seats
 • Analog gauges replaced by screens</t>
        </is>
      </c>
      <c r="X408" s="14" t="inlineStr">
        <is>
          <t>The iconic benchmark against which every other high-end sports car on the planet is judged.</t>
        </is>
      </c>
      <c r="Y408" s="15" t="inlineStr">
        <is>
          <t>https://hips.hearstapps.com/hmg-prod/images/2026-porsche-911.jpg</t>
        </is>
      </c>
      <c r="Z408" s="15" t="inlineStr">
        <is>
          <t>https://www.caranddriver.com/porsche/911</t>
        </is>
      </c>
      <c r="AA408" s="5" t="inlineStr">
        <is>
          <t>Car and Driver 10Best</t>
        </is>
      </c>
    </row>
    <row r="409" ht="48" customHeight="1">
      <c r="A409" s="16" t="n">
        <v>2026</v>
      </c>
      <c r="B409" s="17" t="inlineStr">
        <is>
          <t>Porsche</t>
        </is>
      </c>
      <c r="C409" s="17" t="inlineStr">
        <is>
          <t>911</t>
        </is>
      </c>
      <c r="D409" s="17" t="inlineStr">
        <is>
          <t>Targa 4 GTS</t>
        </is>
      </c>
      <c r="E409" s="17" t="inlineStr">
        <is>
          <t>Semi-Convertible Sports Car</t>
        </is>
      </c>
      <c r="F409" s="17" t="inlineStr">
        <is>
          <t>Gas-Electric Hybrid</t>
        </is>
      </c>
      <c r="G409" s="18" t="n">
        <v>188000</v>
      </c>
      <c r="H409" s="19" t="n">
        <v>532</v>
      </c>
      <c r="I409" s="19" t="n">
        <v>449</v>
      </c>
      <c r="J409" s="17" t="inlineStr">
        <is>
          <t>3.6L Turbo Flat-6 T-Hybrid</t>
        </is>
      </c>
      <c r="K409" s="20" t="n">
        <v>3.6</v>
      </c>
      <c r="L409" s="16" t="n">
        <v>6</v>
      </c>
      <c r="M409" s="17" t="inlineStr">
        <is>
          <t>8-Speed PDK</t>
        </is>
      </c>
      <c r="N409" s="16" t="inlineStr">
        <is>
          <t>AWD</t>
        </is>
      </c>
      <c r="O409" s="16" t="inlineStr">
        <is>
          <t>20 (18/23 Est)</t>
        </is>
      </c>
      <c r="P409" s="16" t="inlineStr">
        <is>
          <t>N/A</t>
        </is>
      </c>
      <c r="Q409" s="22" t="n">
        <v>1.9</v>
      </c>
      <c r="R409" s="16" t="n">
        <v>4</v>
      </c>
      <c r="S409" s="22" t="n">
        <v>4.6</v>
      </c>
      <c r="T409" s="16" t="inlineStr">
        <is>
          <t>N/A</t>
        </is>
      </c>
      <c r="U409" s="23" t="inlineStr">
        <is>
          <t>10/10</t>
        </is>
      </c>
      <c r="V409" s="24" t="inlineStr">
        <is>
          <t xml:space="preserve"> • Zero-lag electric turbo response
 • Tremendous midrange torque surge
 • Flawless PDK transmission shifts</t>
        </is>
      </c>
      <c r="W409" s="25" t="inlineStr">
        <is>
          <t xml:space="preserve"> • Heavier than previous analog generations
 • Stratospheric options pricing
 • No manual on GTS hybrid</t>
        </is>
      </c>
      <c r="X409" s="26" t="inlineStr">
        <is>
          <t>The 911 Carrera GTS embraces clever T-Hybrid technology to heighten performance without losing its soul.</t>
        </is>
      </c>
      <c r="Y409" s="27" t="inlineStr">
        <is>
          <t>https://hips.hearstapps.com/hmg-prod/images/2026-porsche-911.jpg</t>
        </is>
      </c>
      <c r="Z409" s="27" t="inlineStr">
        <is>
          <t>https://www.caranddriver.com/porsche/911</t>
        </is>
      </c>
      <c r="AA409" s="17" t="inlineStr">
        <is>
          <t>Car and Driver First Look</t>
        </is>
      </c>
    </row>
    <row r="410" ht="48" customHeight="1">
      <c r="A410" s="4" t="n">
        <v>2026</v>
      </c>
      <c r="B410" s="5" t="inlineStr">
        <is>
          <t>Porsche</t>
        </is>
      </c>
      <c r="C410" s="5" t="inlineStr">
        <is>
          <t>Taycan</t>
        </is>
      </c>
      <c r="D410" s="5" t="inlineStr">
        <is>
          <t>4S Sedan</t>
        </is>
      </c>
      <c r="E410" s="5" t="inlineStr">
        <is>
          <t>Luxury EV Sedan</t>
        </is>
      </c>
      <c r="F410" s="5" t="inlineStr">
        <is>
          <t>Electric</t>
        </is>
      </c>
      <c r="G410" s="6" t="n">
        <v>119500</v>
      </c>
      <c r="H410" s="7" t="n">
        <v>536</v>
      </c>
      <c r="I410" s="7" t="n">
        <v>512</v>
      </c>
      <c r="J410" s="5" t="inlineStr">
        <is>
          <t>Dual Electric Motors</t>
        </is>
      </c>
      <c r="K410" s="4" t="inlineStr">
        <is>
          <t>N/A</t>
        </is>
      </c>
      <c r="L410" s="4" t="n">
        <v>0</v>
      </c>
      <c r="M410" s="5" t="inlineStr">
        <is>
          <t>2-Speed Rear / 1-Speed Front</t>
        </is>
      </c>
      <c r="N410" s="4" t="inlineStr">
        <is>
          <t>AWD</t>
        </is>
      </c>
      <c r="O410" s="4" t="inlineStr">
        <is>
          <t>89 MPGe</t>
        </is>
      </c>
      <c r="P410" s="4" t="inlineStr">
        <is>
          <t>318</t>
        </is>
      </c>
      <c r="Q410" s="10" t="n">
        <v>105</v>
      </c>
      <c r="R410" s="4" t="n">
        <v>4</v>
      </c>
      <c r="S410" s="10" t="n">
        <v>14.3</v>
      </c>
      <c r="T410" s="4" t="inlineStr">
        <is>
          <t>N/A</t>
        </is>
      </c>
      <c r="U410" s="29" t="inlineStr">
        <is>
          <t>9.5/10</t>
        </is>
      </c>
      <c r="V410" s="12" t="inlineStr">
        <is>
          <t xml:space="preserve"> • Silent, instantaneous acceleration
 • Low center of gravity enhances stability
 • Zero tailpipe emissions</t>
        </is>
      </c>
      <c r="W410" s="13" t="inlineStr">
        <is>
          <t xml:space="preserve"> • Highway range drops at sustained speed
 • Public charging network variability
 • Pricier initial purchase cost</t>
        </is>
      </c>
      <c r="X410" s="14" t="inlineStr">
        <is>
          <t>A compelling electric entry in the luxury ev sedan segment offering smooth power delivery and advanced tech.</t>
        </is>
      </c>
      <c r="Y410" s="15" t="inlineStr">
        <is>
          <t>https://hips.hearstapps.com/hmg-prod/images/2026-porsche-taycan.jpg</t>
        </is>
      </c>
      <c r="Z410" s="15" t="inlineStr">
        <is>
          <t>https://www.caranddriver.com/porsche/taycan</t>
        </is>
      </c>
      <c r="AA410" s="5" t="inlineStr">
        <is>
          <t>Car and Driver 10Best</t>
        </is>
      </c>
    </row>
    <row r="411" ht="48" customHeight="1">
      <c r="A411" s="16" t="n">
        <v>2026</v>
      </c>
      <c r="B411" s="17" t="inlineStr">
        <is>
          <t>Porsche</t>
        </is>
      </c>
      <c r="C411" s="17" t="inlineStr">
        <is>
          <t>Cayenne</t>
        </is>
      </c>
      <c r="D411" s="17" t="inlineStr">
        <is>
          <t>E-Hybrid Platinum</t>
        </is>
      </c>
      <c r="E411" s="17" t="inlineStr">
        <is>
          <t>Plug-In Luxury SUV</t>
        </is>
      </c>
      <c r="F411" s="17" t="inlineStr">
        <is>
          <t>PHEV</t>
        </is>
      </c>
      <c r="G411" s="18" t="n">
        <v>98000</v>
      </c>
      <c r="H411" s="19" t="n">
        <v>468</v>
      </c>
      <c r="I411" s="19" t="n">
        <v>479</v>
      </c>
      <c r="J411" s="17" t="inlineStr">
        <is>
          <t>3.0L Turbo V6 + Motor</t>
        </is>
      </c>
      <c r="K411" s="20" t="n">
        <v>3</v>
      </c>
      <c r="L411" s="16" t="n">
        <v>6</v>
      </c>
      <c r="M411" s="17" t="inlineStr">
        <is>
          <t>8-Speed Tiptronic S</t>
        </is>
      </c>
      <c r="N411" s="16" t="inlineStr">
        <is>
          <t>AWD</t>
        </is>
      </c>
      <c r="O411" s="16" t="inlineStr">
        <is>
          <t>49 MPGe / 21 Comb</t>
        </is>
      </c>
      <c r="P411" s="16" t="inlineStr">
        <is>
          <t>32</t>
        </is>
      </c>
      <c r="Q411" s="22" t="n">
        <v>25.9</v>
      </c>
      <c r="R411" s="16" t="n">
        <v>5</v>
      </c>
      <c r="S411" s="22" t="n">
        <v>27.2</v>
      </c>
      <c r="T411" s="19" t="n">
        <v>7700</v>
      </c>
      <c r="U411" s="28" t="inlineStr">
        <is>
          <t>9.0/10</t>
        </is>
      </c>
      <c r="V411" s="24" t="inlineStr">
        <is>
          <t xml:space="preserve"> • Superb real-world fuel economy
 • Smooth electric-gas power handover
 • No range anxiety on long trips</t>
        </is>
      </c>
      <c r="W411" s="25" t="inlineStr">
        <is>
          <t xml:space="preserve"> • Added curb weight from battery packs
 • Slightly compromised cargo space
 • eCVT engine flare during passing</t>
        </is>
      </c>
      <c r="X411" s="26" t="inlineStr">
        <is>
          <t>A finely engineered phev plug-in luxury suv striking the optimal balance between high efficiency and long-distance practicality.</t>
        </is>
      </c>
      <c r="Y411" s="27" t="inlineStr">
        <is>
          <t>https://hips.hearstapps.com/hmg-prod/images/2026-porsche-cayenne.jpg</t>
        </is>
      </c>
      <c r="Z411" s="27" t="inlineStr">
        <is>
          <t>https://www.caranddriver.com/porsche/cayenne</t>
        </is>
      </c>
      <c r="AA411" s="17" t="inlineStr">
        <is>
          <t>Car and Driver Buyer's Guide</t>
        </is>
      </c>
    </row>
    <row r="412" ht="48" customHeight="1">
      <c r="A412" s="4" t="n">
        <v>2026</v>
      </c>
      <c r="B412" s="5" t="inlineStr">
        <is>
          <t>Ram</t>
        </is>
      </c>
      <c r="C412" s="5" t="inlineStr">
        <is>
          <t>1500</t>
        </is>
      </c>
      <c r="D412" s="5" t="inlineStr">
        <is>
          <t>Tradesman Quad Cab 4x4</t>
        </is>
      </c>
      <c r="E412" s="5" t="inlineStr">
        <is>
          <t>Full-Size Fleet/Work Truck</t>
        </is>
      </c>
      <c r="F412" s="5" t="inlineStr">
        <is>
          <t>Gasoline</t>
        </is>
      </c>
      <c r="G412" s="6" t="n">
        <v>44000</v>
      </c>
      <c r="H412" s="7" t="n">
        <v>305</v>
      </c>
      <c r="I412" s="7" t="n">
        <v>269</v>
      </c>
      <c r="J412" s="5" t="inlineStr">
        <is>
          <t>3.6L Pentastar V6 eTorque</t>
        </is>
      </c>
      <c r="K412" s="8" t="n">
        <v>3.6</v>
      </c>
      <c r="L412" s="4" t="n">
        <v>6</v>
      </c>
      <c r="M412" s="5" t="inlineStr">
        <is>
          <t>8-Speed Auto</t>
        </is>
      </c>
      <c r="N412" s="4" t="inlineStr">
        <is>
          <t>4WD</t>
        </is>
      </c>
      <c r="O412" s="4" t="inlineStr">
        <is>
          <t>21 (19/24)</t>
        </is>
      </c>
      <c r="P412" s="4" t="inlineStr">
        <is>
          <t>N/A</t>
        </is>
      </c>
      <c r="Q412" s="9" t="inlineStr">
        <is>
          <t>N/A</t>
        </is>
      </c>
      <c r="R412" s="4" t="n">
        <v>6</v>
      </c>
      <c r="S412" s="10" t="n">
        <v>53.9</v>
      </c>
      <c r="T412" s="7" t="n">
        <v>7760</v>
      </c>
      <c r="U412" s="11" t="inlineStr">
        <is>
          <t>8.5/10</t>
        </is>
      </c>
      <c r="V412" s="12" t="inlineStr">
        <is>
          <t xml:space="preserve"> • Robust payload and towing capabilities
 • Durable bed and tailgate features
 • High ground clearance</t>
        </is>
      </c>
      <c r="W412" s="13" t="inlineStr">
        <is>
          <t xml:space="preserve"> • Stiffer unladen ride quality
 • Challenging to park in urban garages
 • Higher fuel costs</t>
        </is>
      </c>
      <c r="X412" s="14" t="inlineStr">
        <is>
          <t>A capable and rugged full-size fleet/work truck designed for serious work duty, hauling, and outdoor recreation.</t>
        </is>
      </c>
      <c r="Y412" s="15" t="inlineStr">
        <is>
          <t>https://hips.hearstapps.com/hmg-prod/images/2026-ram-1500.jpg</t>
        </is>
      </c>
      <c r="Z412" s="15" t="inlineStr">
        <is>
          <t>https://www.caranddriver.com/ram/1500</t>
        </is>
      </c>
      <c r="AA412" s="5" t="inlineStr">
        <is>
          <t>Car and Driver Buyer's Guide</t>
        </is>
      </c>
    </row>
    <row r="413" ht="48" customHeight="1">
      <c r="A413" s="16" t="n">
        <v>2026</v>
      </c>
      <c r="B413" s="17" t="inlineStr">
        <is>
          <t>Ram</t>
        </is>
      </c>
      <c r="C413" s="17" t="inlineStr">
        <is>
          <t>1500</t>
        </is>
      </c>
      <c r="D413" s="17" t="inlineStr">
        <is>
          <t>Limited Crew Cab 4x4</t>
        </is>
      </c>
      <c r="E413" s="17" t="inlineStr">
        <is>
          <t>Full-Size Luxury Truck</t>
        </is>
      </c>
      <c r="F413" s="17" t="inlineStr">
        <is>
          <t>Gasoline</t>
        </is>
      </c>
      <c r="G413" s="18" t="n">
        <v>77000</v>
      </c>
      <c r="H413" s="19" t="n">
        <v>540</v>
      </c>
      <c r="I413" s="19" t="n">
        <v>521</v>
      </c>
      <c r="J413" s="17" t="inlineStr">
        <is>
          <t>3.0L Hurricane HO Twin-Turbo I6</t>
        </is>
      </c>
      <c r="K413" s="20" t="n">
        <v>3</v>
      </c>
      <c r="L413" s="16" t="n">
        <v>6</v>
      </c>
      <c r="M413" s="17" t="inlineStr">
        <is>
          <t>8-Speed Auto</t>
        </is>
      </c>
      <c r="N413" s="16" t="inlineStr">
        <is>
          <t>4WD</t>
        </is>
      </c>
      <c r="O413" s="16" t="inlineStr">
        <is>
          <t>17 (15/21)</t>
        </is>
      </c>
      <c r="P413" s="16" t="inlineStr">
        <is>
          <t>N/A</t>
        </is>
      </c>
      <c r="Q413" s="21" t="inlineStr">
        <is>
          <t>N/A</t>
        </is>
      </c>
      <c r="R413" s="16" t="n">
        <v>5</v>
      </c>
      <c r="S413" s="22" t="n">
        <v>53.9</v>
      </c>
      <c r="T413" s="19" t="n">
        <v>9920</v>
      </c>
      <c r="U413" s="23" t="inlineStr">
        <is>
          <t>10/10</t>
        </is>
      </c>
      <c r="V413" s="24" t="inlineStr">
        <is>
          <t xml:space="preserve"> • Robust payload and towing capabilities
 • Durable bed and tailgate features
 • High ground clearance</t>
        </is>
      </c>
      <c r="W413" s="25" t="inlineStr">
        <is>
          <t xml:space="preserve"> • Stiffer unladen ride quality
 • Challenging to park in urban garages
 • Higher fuel costs</t>
        </is>
      </c>
      <c r="X413" s="26" t="inlineStr">
        <is>
          <t>A capable and rugged full-size luxury truck designed for serious work duty, hauling, and outdoor recreation.</t>
        </is>
      </c>
      <c r="Y413" s="27" t="inlineStr">
        <is>
          <t>https://hips.hearstapps.com/hmg-prod/images/2026-ram-1500.jpg</t>
        </is>
      </c>
      <c r="Z413" s="27" t="inlineStr">
        <is>
          <t>https://www.caranddriver.com/ram/1500</t>
        </is>
      </c>
      <c r="AA413" s="17" t="inlineStr">
        <is>
          <t>Car and Driver 10Best Winner</t>
        </is>
      </c>
    </row>
    <row r="414" ht="48" customHeight="1">
      <c r="A414" s="4" t="n">
        <v>2026</v>
      </c>
      <c r="B414" s="5" t="inlineStr">
        <is>
          <t>Rivian</t>
        </is>
      </c>
      <c r="C414" s="5" t="inlineStr">
        <is>
          <t>R1T</t>
        </is>
      </c>
      <c r="D414" s="5" t="inlineStr">
        <is>
          <t>Dual-Motor Standard Pack</t>
        </is>
      </c>
      <c r="E414" s="5" t="inlineStr">
        <is>
          <t>Adventure EV Pickup</t>
        </is>
      </c>
      <c r="F414" s="5" t="inlineStr">
        <is>
          <t>Electric</t>
        </is>
      </c>
      <c r="G414" s="6" t="n">
        <v>71700</v>
      </c>
      <c r="H414" s="7" t="n">
        <v>533</v>
      </c>
      <c r="I414" s="7" t="n">
        <v>610</v>
      </c>
      <c r="J414" s="5" t="inlineStr">
        <is>
          <t>Dual In-House Motors</t>
        </is>
      </c>
      <c r="K414" s="4" t="inlineStr">
        <is>
          <t>N/A</t>
        </is>
      </c>
      <c r="L414" s="4" t="n">
        <v>0</v>
      </c>
      <c r="M414" s="5" t="inlineStr">
        <is>
          <t>1-Speed Direct</t>
        </is>
      </c>
      <c r="N414" s="4" t="inlineStr">
        <is>
          <t>AWD</t>
        </is>
      </c>
      <c r="O414" s="4" t="inlineStr">
        <is>
          <t>78 MPGe</t>
        </is>
      </c>
      <c r="P414" s="4" t="inlineStr">
        <is>
          <t>270</t>
        </is>
      </c>
      <c r="Q414" s="10" t="n">
        <v>92</v>
      </c>
      <c r="R414" s="4" t="n">
        <v>5</v>
      </c>
      <c r="S414" s="10" t="n">
        <v>29</v>
      </c>
      <c r="T414" s="7" t="n">
        <v>11000</v>
      </c>
      <c r="U414" s="11" t="inlineStr">
        <is>
          <t>9.0/10</t>
        </is>
      </c>
      <c r="V414" s="12" t="inlineStr">
        <is>
          <t xml:space="preserve"> • Silent, instantaneous acceleration
 • Low center of gravity enhances stability
 • Zero tailpipe emissions</t>
        </is>
      </c>
      <c r="W414" s="13" t="inlineStr">
        <is>
          <t xml:space="preserve"> • Highway range drops at sustained speed
 • Public charging network variability
 • Pricier initial purchase cost</t>
        </is>
      </c>
      <c r="X414" s="14" t="inlineStr">
        <is>
          <t>A compelling electric entry in the adventure ev pickup segment offering smooth power delivery and advanced tech.</t>
        </is>
      </c>
      <c r="Y414" s="15" t="inlineStr">
        <is>
          <t>https://hips.hearstapps.com/hmg-prod/images/2026-rivian-r1t.jpg</t>
        </is>
      </c>
      <c r="Z414" s="15" t="inlineStr">
        <is>
          <t>https://www.caranddriver.com/rivian/r1t</t>
        </is>
      </c>
      <c r="AA414" s="5" t="inlineStr">
        <is>
          <t>Car and Driver Buyer's Guide</t>
        </is>
      </c>
    </row>
    <row r="415" ht="48" customHeight="1">
      <c r="A415" s="16" t="n">
        <v>2026</v>
      </c>
      <c r="B415" s="17" t="inlineStr">
        <is>
          <t>Rivian</t>
        </is>
      </c>
      <c r="C415" s="17" t="inlineStr">
        <is>
          <t>R1S</t>
        </is>
      </c>
      <c r="D415" s="17" t="inlineStr">
        <is>
          <t>Tri-Motor Max Pack</t>
        </is>
      </c>
      <c r="E415" s="17" t="inlineStr">
        <is>
          <t>3-Row Adventure EV SUV</t>
        </is>
      </c>
      <c r="F415" s="17" t="inlineStr">
        <is>
          <t>Electric</t>
        </is>
      </c>
      <c r="G415" s="18" t="n">
        <v>107900</v>
      </c>
      <c r="H415" s="19" t="n">
        <v>850</v>
      </c>
      <c r="I415" s="19" t="n">
        <v>1103</v>
      </c>
      <c r="J415" s="17" t="inlineStr">
        <is>
          <t>Tri-Motor Electric Drive</t>
        </is>
      </c>
      <c r="K415" s="16" t="inlineStr">
        <is>
          <t>N/A</t>
        </is>
      </c>
      <c r="L415" s="16" t="n">
        <v>0</v>
      </c>
      <c r="M415" s="17" t="inlineStr">
        <is>
          <t>1-Speed Direct</t>
        </is>
      </c>
      <c r="N415" s="16" t="inlineStr">
        <is>
          <t>AWD</t>
        </is>
      </c>
      <c r="O415" s="16" t="inlineStr">
        <is>
          <t>73 MPGe</t>
        </is>
      </c>
      <c r="P415" s="16" t="inlineStr">
        <is>
          <t>371</t>
        </is>
      </c>
      <c r="Q415" s="22" t="n">
        <v>141.5</v>
      </c>
      <c r="R415" s="16" t="n">
        <v>7</v>
      </c>
      <c r="S415" s="22" t="n">
        <v>17.6</v>
      </c>
      <c r="T415" s="19" t="n">
        <v>7700</v>
      </c>
      <c r="U415" s="23" t="inlineStr">
        <is>
          <t>9.5/10</t>
        </is>
      </c>
      <c r="V415" s="24" t="inlineStr">
        <is>
          <t xml:space="preserve"> • Silent, instantaneous acceleration
 • Low center of gravity enhances stability
 • Zero tailpipe emissions</t>
        </is>
      </c>
      <c r="W415" s="25" t="inlineStr">
        <is>
          <t xml:space="preserve"> • Highway range drops at sustained speed
 • Public charging network variability
 • Pricier initial purchase cost</t>
        </is>
      </c>
      <c r="X415" s="26" t="inlineStr">
        <is>
          <t>A compelling electric entry in the 3-row adventure ev suv segment offering smooth power delivery and advanced tech.</t>
        </is>
      </c>
      <c r="Y415" s="27" t="inlineStr">
        <is>
          <t>https://hips.hearstapps.com/hmg-prod/images/2026-rivian-r1s.jpg</t>
        </is>
      </c>
      <c r="Z415" s="27" t="inlineStr">
        <is>
          <t>https://www.caranddriver.com/rivian/r1s</t>
        </is>
      </c>
      <c r="AA415" s="17" t="inlineStr">
        <is>
          <t>Car and Driver Editors' Choice</t>
        </is>
      </c>
    </row>
    <row r="416" ht="48" customHeight="1">
      <c r="A416" s="4" t="n">
        <v>2026</v>
      </c>
      <c r="B416" s="5" t="inlineStr">
        <is>
          <t>Lucid</t>
        </is>
      </c>
      <c r="C416" s="5" t="inlineStr">
        <is>
          <t>Air</t>
        </is>
      </c>
      <c r="D416" s="5" t="inlineStr">
        <is>
          <t>Grand Touring AWD</t>
        </is>
      </c>
      <c r="E416" s="5" t="inlineStr">
        <is>
          <t>Ultra Long Range EV Sedan</t>
        </is>
      </c>
      <c r="F416" s="5" t="inlineStr">
        <is>
          <t>Electric</t>
        </is>
      </c>
      <c r="G416" s="6" t="n">
        <v>111400</v>
      </c>
      <c r="H416" s="7" t="n">
        <v>819</v>
      </c>
      <c r="I416" s="7" t="n">
        <v>885</v>
      </c>
      <c r="J416" s="5" t="inlineStr">
        <is>
          <t>Dual Permanent Magnet Motors</t>
        </is>
      </c>
      <c r="K416" s="4" t="inlineStr">
        <is>
          <t>N/A</t>
        </is>
      </c>
      <c r="L416" s="4" t="n">
        <v>0</v>
      </c>
      <c r="M416" s="5" t="inlineStr">
        <is>
          <t>1-Speed Direct</t>
        </is>
      </c>
      <c r="N416" s="4" t="inlineStr">
        <is>
          <t>AWD</t>
        </is>
      </c>
      <c r="O416" s="4" t="inlineStr">
        <is>
          <t>131 MPGe</t>
        </is>
      </c>
      <c r="P416" s="4" t="inlineStr">
        <is>
          <t>512</t>
        </is>
      </c>
      <c r="Q416" s="10" t="n">
        <v>118</v>
      </c>
      <c r="R416" s="4" t="n">
        <v>5</v>
      </c>
      <c r="S416" s="10" t="n">
        <v>22.1</v>
      </c>
      <c r="T416" s="4" t="inlineStr">
        <is>
          <t>N/A</t>
        </is>
      </c>
      <c r="U416" s="29" t="inlineStr">
        <is>
          <t>10/10</t>
        </is>
      </c>
      <c r="V416" s="12" t="inlineStr">
        <is>
          <t xml:space="preserve"> • Silent, instantaneous acceleration
 • Low center of gravity enhances stability
 • Zero tailpipe emissions</t>
        </is>
      </c>
      <c r="W416" s="13" t="inlineStr">
        <is>
          <t xml:space="preserve"> • Highway range drops at sustained speed
 • Public charging network variability
 • Pricier initial purchase cost</t>
        </is>
      </c>
      <c r="X416" s="14" t="inlineStr">
        <is>
          <t>A compelling electric entry in the ultra long range ev sedan segment offering smooth power delivery and advanced tech.</t>
        </is>
      </c>
      <c r="Y416" s="15" t="inlineStr">
        <is>
          <t>https://hips.hearstapps.com/hmg-prod/images/2026-lucid-air.jpg</t>
        </is>
      </c>
      <c r="Z416" s="15" t="inlineStr">
        <is>
          <t>https://www.caranddriver.com/lucid/air</t>
        </is>
      </c>
      <c r="AA416" s="5" t="inlineStr">
        <is>
          <t>Car and Driver 10Best Winner</t>
        </is>
      </c>
    </row>
    <row r="417" ht="48" customHeight="1">
      <c r="A417" s="16" t="n">
        <v>2026</v>
      </c>
      <c r="B417" s="17" t="inlineStr">
        <is>
          <t>Jeep</t>
        </is>
      </c>
      <c r="C417" s="17" t="inlineStr">
        <is>
          <t>Wrangler</t>
        </is>
      </c>
      <c r="D417" s="17" t="inlineStr">
        <is>
          <t>Sport S 2-Door 4x4</t>
        </is>
      </c>
      <c r="E417" s="17" t="inlineStr">
        <is>
          <t>Compact 4x4 SUV</t>
        </is>
      </c>
      <c r="F417" s="17" t="inlineStr">
        <is>
          <t>Gasoline</t>
        </is>
      </c>
      <c r="G417" s="18" t="n">
        <v>36500</v>
      </c>
      <c r="H417" s="19" t="n">
        <v>285</v>
      </c>
      <c r="I417" s="19" t="n">
        <v>260</v>
      </c>
      <c r="J417" s="17" t="inlineStr">
        <is>
          <t>3.6L Pentastar V6</t>
        </is>
      </c>
      <c r="K417" s="20" t="n">
        <v>3.6</v>
      </c>
      <c r="L417" s="16" t="n">
        <v>6</v>
      </c>
      <c r="M417" s="17" t="inlineStr">
        <is>
          <t>6-Speed Manual</t>
        </is>
      </c>
      <c r="N417" s="16" t="inlineStr">
        <is>
          <t>Command-Trac 4WD</t>
        </is>
      </c>
      <c r="O417" s="16" t="inlineStr">
        <is>
          <t>19 (17/23)</t>
        </is>
      </c>
      <c r="P417" s="16" t="inlineStr">
        <is>
          <t>N/A</t>
        </is>
      </c>
      <c r="Q417" s="21" t="inlineStr">
        <is>
          <t>N/A</t>
        </is>
      </c>
      <c r="R417" s="16" t="n">
        <v>4</v>
      </c>
      <c r="S417" s="22" t="n">
        <v>12.9</v>
      </c>
      <c r="T417" s="19" t="n">
        <v>2000</v>
      </c>
      <c r="U417" s="28" t="inlineStr">
        <is>
          <t>8.0/10</t>
        </is>
      </c>
      <c r="V417" s="24" t="inlineStr">
        <is>
          <t xml:space="preserve"> • Removable doors and roof for open-air freedom
 • Unstoppable off-road rock crawl ability
 • High residual values</t>
        </is>
      </c>
      <c r="W417" s="25" t="inlineStr">
        <is>
          <t xml:space="preserve"> • Elevated highway wind and tire roar
 • Vague on-center steering wander
 • Choppy ride quality</t>
        </is>
      </c>
      <c r="X417" s="26" t="inlineStr">
        <is>
          <t>Iconic American adventure icons engineered to tackle trails where other vehicles fear to tread.</t>
        </is>
      </c>
      <c r="Y417" s="27" t="inlineStr">
        <is>
          <t>https://hips.hearstapps.com/hmg-prod/images/2026-jeep-wrangler.jpg</t>
        </is>
      </c>
      <c r="Z417" s="27" t="inlineStr">
        <is>
          <t>https://www.caranddriver.com/jeep/wrangler</t>
        </is>
      </c>
      <c r="AA417" s="17" t="inlineStr">
        <is>
          <t>Car and Driver Buyer's Guide</t>
        </is>
      </c>
    </row>
    <row r="418" ht="48" customHeight="1">
      <c r="A418" s="4" t="n">
        <v>2026</v>
      </c>
      <c r="B418" s="5" t="inlineStr">
        <is>
          <t>Jeep</t>
        </is>
      </c>
      <c r="C418" s="5" t="inlineStr">
        <is>
          <t>Wrangler</t>
        </is>
      </c>
      <c r="D418" s="5" t="inlineStr">
        <is>
          <t>Sahara 4-Door 4xe</t>
        </is>
      </c>
      <c r="E418" s="5" t="inlineStr">
        <is>
          <t>Mid-Size Luxury 4x4 PHEV</t>
        </is>
      </c>
      <c r="F418" s="5" t="inlineStr">
        <is>
          <t>PHEV</t>
        </is>
      </c>
      <c r="G418" s="6" t="n">
        <v>59000</v>
      </c>
      <c r="H418" s="7" t="n">
        <v>375</v>
      </c>
      <c r="I418" s="7" t="n">
        <v>470</v>
      </c>
      <c r="J418" s="5" t="inlineStr">
        <is>
          <t>2.0L Turbo I4 + Dual Motors</t>
        </is>
      </c>
      <c r="K418" s="8" t="n">
        <v>2</v>
      </c>
      <c r="L418" s="4" t="n">
        <v>4</v>
      </c>
      <c r="M418" s="5" t="inlineStr">
        <is>
          <t>8-Speed Auto</t>
        </is>
      </c>
      <c r="N418" s="4" t="inlineStr">
        <is>
          <t>Selec-Trac 4WD</t>
        </is>
      </c>
      <c r="O418" s="4" t="inlineStr">
        <is>
          <t>49 MPGe / 20 Comb</t>
        </is>
      </c>
      <c r="P418" s="4" t="inlineStr">
        <is>
          <t>21</t>
        </is>
      </c>
      <c r="Q418" s="10" t="n">
        <v>17.3</v>
      </c>
      <c r="R418" s="4" t="n">
        <v>5</v>
      </c>
      <c r="S418" s="10" t="n">
        <v>27.7</v>
      </c>
      <c r="T418" s="7" t="n">
        <v>3500</v>
      </c>
      <c r="U418" s="11" t="inlineStr">
        <is>
          <t>8.0/10</t>
        </is>
      </c>
      <c r="V418" s="12" t="inlineStr">
        <is>
          <t xml:space="preserve"> • Removable doors and roof for open-air freedom
 • Unstoppable off-road rock crawl ability
 • High residual values</t>
        </is>
      </c>
      <c r="W418" s="13" t="inlineStr">
        <is>
          <t xml:space="preserve"> • Elevated highway wind and tire roar
 • Vague on-center steering wander
 • Choppy ride quality</t>
        </is>
      </c>
      <c r="X418" s="14" t="inlineStr">
        <is>
          <t>Iconic American adventure icons engineered to tackle trails where other vehicles fear to tread.</t>
        </is>
      </c>
      <c r="Y418" s="15" t="inlineStr">
        <is>
          <t>https://hips.hearstapps.com/hmg-prod/images/2026-jeep-wrangler.jpg</t>
        </is>
      </c>
      <c r="Z418" s="15" t="inlineStr">
        <is>
          <t>https://www.caranddriver.com/jeep/wrangler</t>
        </is>
      </c>
      <c r="AA418" s="5" t="inlineStr">
        <is>
          <t>Car and Driver Buyer's Guide</t>
        </is>
      </c>
    </row>
    <row r="419" ht="48" customHeight="1">
      <c r="A419" s="16" t="n">
        <v>2026</v>
      </c>
      <c r="B419" s="17" t="inlineStr">
        <is>
          <t>Jeep</t>
        </is>
      </c>
      <c r="C419" s="17" t="inlineStr">
        <is>
          <t>Gladiator</t>
        </is>
      </c>
      <c r="D419" s="17" t="inlineStr">
        <is>
          <t>Mojave 4x4</t>
        </is>
      </c>
      <c r="E419" s="17" t="inlineStr">
        <is>
          <t>Desert Rated Mid-Size Truck</t>
        </is>
      </c>
      <c r="F419" s="17" t="inlineStr">
        <is>
          <t>Gasoline</t>
        </is>
      </c>
      <c r="G419" s="18" t="n">
        <v>53000</v>
      </c>
      <c r="H419" s="19" t="n">
        <v>285</v>
      </c>
      <c r="I419" s="19" t="n">
        <v>260</v>
      </c>
      <c r="J419" s="17" t="inlineStr">
        <is>
          <t>3.6L Pentastar V6 w/ Fox Internal Bypass</t>
        </is>
      </c>
      <c r="K419" s="20" t="n">
        <v>3.6</v>
      </c>
      <c r="L419" s="16" t="n">
        <v>6</v>
      </c>
      <c r="M419" s="17" t="inlineStr">
        <is>
          <t>8-Speed Auto</t>
        </is>
      </c>
      <c r="N419" s="16" t="inlineStr">
        <is>
          <t>Command-Trac 4WD</t>
        </is>
      </c>
      <c r="O419" s="16" t="inlineStr">
        <is>
          <t>19 (17/22)</t>
        </is>
      </c>
      <c r="P419" s="16" t="inlineStr">
        <is>
          <t>N/A</t>
        </is>
      </c>
      <c r="Q419" s="21" t="inlineStr">
        <is>
          <t>N/A</t>
        </is>
      </c>
      <c r="R419" s="16" t="n">
        <v>5</v>
      </c>
      <c r="S419" s="22" t="n">
        <v>35.5</v>
      </c>
      <c r="T419" s="19" t="n">
        <v>6000</v>
      </c>
      <c r="U419" s="28" t="inlineStr">
        <is>
          <t>8.5/10</t>
        </is>
      </c>
      <c r="V419" s="24" t="inlineStr">
        <is>
          <t xml:space="preserve"> • Robust payload and towing capabilities
 • Durable bed and tailgate features
 • High ground clearance</t>
        </is>
      </c>
      <c r="W419" s="25" t="inlineStr">
        <is>
          <t xml:space="preserve"> • Stiffer unladen ride quality
 • Challenging to park in urban garages
 • Higher fuel costs</t>
        </is>
      </c>
      <c r="X419" s="26" t="inlineStr">
        <is>
          <t>A capable and rugged desert rated mid-size truck designed for serious work duty, hauling, and outdoor recreation.</t>
        </is>
      </c>
      <c r="Y419" s="27" t="inlineStr">
        <is>
          <t>https://hips.hearstapps.com/hmg-prod/images/2026-jeep-gladiator.jpg</t>
        </is>
      </c>
      <c r="Z419" s="27" t="inlineStr">
        <is>
          <t>https://www.caranddriver.com/jeep/gladiator</t>
        </is>
      </c>
      <c r="AA419" s="17" t="inlineStr">
        <is>
          <t>Car and Driver Buyer's Guide</t>
        </is>
      </c>
    </row>
    <row r="420" ht="48" customHeight="1">
      <c r="A420" s="4" t="n">
        <v>2026</v>
      </c>
      <c r="B420" s="5" t="inlineStr">
        <is>
          <t>Dodge</t>
        </is>
      </c>
      <c r="C420" s="5" t="inlineStr">
        <is>
          <t>Hornet</t>
        </is>
      </c>
      <c r="D420" s="5" t="inlineStr">
        <is>
          <t>GT Plus AWD</t>
        </is>
      </c>
      <c r="E420" s="5" t="inlineStr">
        <is>
          <t>Compact Sport Crossover</t>
        </is>
      </c>
      <c r="F420" s="5" t="inlineStr">
        <is>
          <t>Gasoline</t>
        </is>
      </c>
      <c r="G420" s="6" t="n">
        <v>36000</v>
      </c>
      <c r="H420" s="7" t="n">
        <v>268</v>
      </c>
      <c r="I420" s="7" t="n">
        <v>295</v>
      </c>
      <c r="J420" s="5" t="inlineStr">
        <is>
          <t>2.0L Hurricane4 Turbo I4</t>
        </is>
      </c>
      <c r="K420" s="8" t="n">
        <v>2</v>
      </c>
      <c r="L420" s="4" t="n">
        <v>4</v>
      </c>
      <c r="M420" s="5" t="inlineStr">
        <is>
          <t>9-Speed Auto</t>
        </is>
      </c>
      <c r="N420" s="4" t="inlineStr">
        <is>
          <t>AWD</t>
        </is>
      </c>
      <c r="O420" s="4" t="inlineStr">
        <is>
          <t>24 (21/29)</t>
        </is>
      </c>
      <c r="P420" s="4" t="inlineStr">
        <is>
          <t>N/A</t>
        </is>
      </c>
      <c r="Q420" s="9" t="inlineStr">
        <is>
          <t>N/A</t>
        </is>
      </c>
      <c r="R420" s="4" t="n">
        <v>5</v>
      </c>
      <c r="S420" s="10" t="n">
        <v>27</v>
      </c>
      <c r="T420" s="7" t="n">
        <v>2000</v>
      </c>
      <c r="U420" s="11" t="inlineStr">
        <is>
          <t>8.0/10</t>
        </is>
      </c>
      <c r="V420" s="12" t="inlineStr">
        <is>
          <t xml:space="preserve"> • Spacious passenger and cargo room
 • Commanding elevated driving position
 • Confidence-inspiring all-weather grip</t>
        </is>
      </c>
      <c r="W420" s="13" t="inlineStr">
        <is>
          <t xml:space="preserve"> • Higher center of gravity than sedans
 • Fuel consumption under heavy load
 • Less engaging steering feel</t>
        </is>
      </c>
      <c r="X420" s="14" t="inlineStr">
        <is>
          <t>A highly versatile compact sport crossover that delivers generous space, modern safety tech, and daily utility.</t>
        </is>
      </c>
      <c r="Y420" s="15" t="inlineStr">
        <is>
          <t>https://hips.hearstapps.com/hmg-prod/images/2026-dodge-hornet.jpg</t>
        </is>
      </c>
      <c r="Z420" s="15" t="inlineStr">
        <is>
          <t>https://www.caranddriver.com/dodge/hornet</t>
        </is>
      </c>
      <c r="AA420" s="5" t="inlineStr">
        <is>
          <t>Car and Driver Buyer's Guide</t>
        </is>
      </c>
    </row>
    <row r="421" ht="48" customHeight="1">
      <c r="A421" s="16" t="n">
        <v>2026</v>
      </c>
      <c r="B421" s="17" t="inlineStr">
        <is>
          <t>Nissan</t>
        </is>
      </c>
      <c r="C421" s="17" t="inlineStr">
        <is>
          <t>Ariya</t>
        </is>
      </c>
      <c r="D421" s="17" t="inlineStr">
        <is>
          <t>Engage FWD</t>
        </is>
      </c>
      <c r="E421" s="17" t="inlineStr">
        <is>
          <t>Compact EV Crossover</t>
        </is>
      </c>
      <c r="F421" s="17" t="inlineStr">
        <is>
          <t>Electric</t>
        </is>
      </c>
      <c r="G421" s="18" t="n">
        <v>41000</v>
      </c>
      <c r="H421" s="19" t="n">
        <v>214</v>
      </c>
      <c r="I421" s="19" t="n">
        <v>221</v>
      </c>
      <c r="J421" s="17" t="inlineStr">
        <is>
          <t>Front Electric Motor</t>
        </is>
      </c>
      <c r="K421" s="16" t="inlineStr">
        <is>
          <t>N/A</t>
        </is>
      </c>
      <c r="L421" s="16" t="n">
        <v>0</v>
      </c>
      <c r="M421" s="17" t="inlineStr">
        <is>
          <t>1-Speed Direct</t>
        </is>
      </c>
      <c r="N421" s="16" t="inlineStr">
        <is>
          <t>FWD</t>
        </is>
      </c>
      <c r="O421" s="16" t="inlineStr">
        <is>
          <t>101 MPGe</t>
        </is>
      </c>
      <c r="P421" s="16" t="inlineStr">
        <is>
          <t>216</t>
        </is>
      </c>
      <c r="Q421" s="22" t="n">
        <v>63</v>
      </c>
      <c r="R421" s="16" t="n">
        <v>5</v>
      </c>
      <c r="S421" s="22" t="n">
        <v>22.8</v>
      </c>
      <c r="T421" s="19" t="n">
        <v>1500</v>
      </c>
      <c r="U421" s="28" t="inlineStr">
        <is>
          <t>8.0/10</t>
        </is>
      </c>
      <c r="V421" s="24" t="inlineStr">
        <is>
          <t xml:space="preserve"> • Silent, instantaneous acceleration
 • Low center of gravity enhances stability
 • Zero tailpipe emissions</t>
        </is>
      </c>
      <c r="W421" s="25" t="inlineStr">
        <is>
          <t xml:space="preserve"> • Highway range drops at sustained speed
 • Public charging network variability
 • Pricier initial purchase cost</t>
        </is>
      </c>
      <c r="X421" s="26" t="inlineStr">
        <is>
          <t>A compelling electric entry in the compact ev crossover segment offering smooth power delivery and advanced tech.</t>
        </is>
      </c>
      <c r="Y421" s="27" t="inlineStr">
        <is>
          <t>https://hips.hearstapps.com/hmg-prod/images/2026-nissan-ariya.jpg</t>
        </is>
      </c>
      <c r="Z421" s="27" t="inlineStr">
        <is>
          <t>https://www.caranddriver.com/nissan/ariya</t>
        </is>
      </c>
      <c r="AA421" s="17" t="inlineStr">
        <is>
          <t>Car and Driver Buyer's Guide</t>
        </is>
      </c>
    </row>
    <row r="422" ht="48" customHeight="1">
      <c r="A422" s="4" t="n">
        <v>2026</v>
      </c>
      <c r="B422" s="5" t="inlineStr">
        <is>
          <t>Nissan</t>
        </is>
      </c>
      <c r="C422" s="5" t="inlineStr">
        <is>
          <t>Leaf</t>
        </is>
      </c>
      <c r="D422" s="5" t="inlineStr">
        <is>
          <t>SV Plus</t>
        </is>
      </c>
      <c r="E422" s="5" t="inlineStr">
        <is>
          <t>Electric Compact Hatch</t>
        </is>
      </c>
      <c r="F422" s="5" t="inlineStr">
        <is>
          <t>Electric</t>
        </is>
      </c>
      <c r="G422" s="6" t="n">
        <v>37000</v>
      </c>
      <c r="H422" s="7" t="n">
        <v>214</v>
      </c>
      <c r="I422" s="7" t="n">
        <v>250</v>
      </c>
      <c r="J422" s="5" t="inlineStr">
        <is>
          <t>Front Electric Motor</t>
        </is>
      </c>
      <c r="K422" s="4" t="inlineStr">
        <is>
          <t>N/A</t>
        </is>
      </c>
      <c r="L422" s="4" t="n">
        <v>0</v>
      </c>
      <c r="M422" s="5" t="inlineStr">
        <is>
          <t>1-Speed Direct</t>
        </is>
      </c>
      <c r="N422" s="4" t="inlineStr">
        <is>
          <t>FWD</t>
        </is>
      </c>
      <c r="O422" s="4" t="inlineStr">
        <is>
          <t>109 MPGe</t>
        </is>
      </c>
      <c r="P422" s="4" t="inlineStr">
        <is>
          <t>212</t>
        </is>
      </c>
      <c r="Q422" s="10" t="n">
        <v>60</v>
      </c>
      <c r="R422" s="4" t="n">
        <v>5</v>
      </c>
      <c r="S422" s="10" t="n">
        <v>23.6</v>
      </c>
      <c r="T422" s="4" t="inlineStr">
        <is>
          <t>N/A</t>
        </is>
      </c>
      <c r="U422" s="11" t="inlineStr">
        <is>
          <t>7.0/10</t>
        </is>
      </c>
      <c r="V422" s="12" t="inlineStr">
        <is>
          <t xml:space="preserve"> • Silent, instantaneous acceleration
 • Low center of gravity enhances stability
 • Zero tailpipe emissions</t>
        </is>
      </c>
      <c r="W422" s="13" t="inlineStr">
        <is>
          <t xml:space="preserve"> • Highway range drops at sustained speed
 • Public charging network variability
 • Pricier initial purchase cost</t>
        </is>
      </c>
      <c r="X422" s="14" t="inlineStr">
        <is>
          <t>A compelling electric entry in the electric compact hatch segment offering smooth power delivery and advanced tech.</t>
        </is>
      </c>
      <c r="Y422" s="15" t="inlineStr">
        <is>
          <t>https://hips.hearstapps.com/hmg-prod/images/2026-nissan-leaf.jpg</t>
        </is>
      </c>
      <c r="Z422" s="15" t="inlineStr">
        <is>
          <t>https://www.caranddriver.com/nissan/leaf</t>
        </is>
      </c>
      <c r="AA422" s="5" t="inlineStr">
        <is>
          <t>Car and Driver Buyer's Guide</t>
        </is>
      </c>
    </row>
    <row r="423" ht="48" customHeight="1">
      <c r="A423" s="16" t="n">
        <v>2026</v>
      </c>
      <c r="B423" s="17" t="inlineStr">
        <is>
          <t>Toyota</t>
        </is>
      </c>
      <c r="C423" s="17" t="inlineStr">
        <is>
          <t>Venza</t>
        </is>
      </c>
      <c r="D423" s="17" t="inlineStr">
        <is>
          <t>Limited Hybrid AWD</t>
        </is>
      </c>
      <c r="E423" s="17" t="inlineStr">
        <is>
          <t>Mid-Size Two-Row Hybrid Crossover</t>
        </is>
      </c>
      <c r="F423" s="17" t="inlineStr">
        <is>
          <t>Gas-Electric Hybrid</t>
        </is>
      </c>
      <c r="G423" s="18" t="n">
        <v>44500</v>
      </c>
      <c r="H423" s="19" t="n">
        <v>219</v>
      </c>
      <c r="I423" s="19" t="n">
        <v>163</v>
      </c>
      <c r="J423" s="17" t="inlineStr">
        <is>
          <t>2.5L DOHC 16V I4 Hybrid</t>
        </is>
      </c>
      <c r="K423" s="20" t="n">
        <v>2.5</v>
      </c>
      <c r="L423" s="16" t="n">
        <v>4</v>
      </c>
      <c r="M423" s="17" t="inlineStr">
        <is>
          <t>eCVT</t>
        </is>
      </c>
      <c r="N423" s="16" t="inlineStr">
        <is>
          <t>Electronic AWD</t>
        </is>
      </c>
      <c r="O423" s="16" t="inlineStr">
        <is>
          <t>39 (40/37)</t>
        </is>
      </c>
      <c r="P423" s="16" t="inlineStr">
        <is>
          <t>N/A</t>
        </is>
      </c>
      <c r="Q423" s="22" t="n">
        <v>1.6</v>
      </c>
      <c r="R423" s="16" t="n">
        <v>5</v>
      </c>
      <c r="S423" s="22" t="n">
        <v>28.8</v>
      </c>
      <c r="T423" s="16" t="inlineStr">
        <is>
          <t>N/A</t>
        </is>
      </c>
      <c r="U423" s="28" t="inlineStr">
        <is>
          <t>8.0/10</t>
        </is>
      </c>
      <c r="V423" s="24" t="inlineStr">
        <is>
          <t xml:space="preserve"> • Superb real-world fuel economy
 • Smooth electric-gas power handover
 • No range anxiety on long trips</t>
        </is>
      </c>
      <c r="W423" s="25" t="inlineStr">
        <is>
          <t xml:space="preserve"> • Added curb weight from battery packs
 • Slightly compromised cargo space
 • eCVT engine flare during passing</t>
        </is>
      </c>
      <c r="X423" s="26" t="inlineStr">
        <is>
          <t>A finely engineered gas-electric hybrid mid-size two-row hybrid crossover striking the optimal balance between high efficiency and long-distance practicality.</t>
        </is>
      </c>
      <c r="Y423" s="27" t="inlineStr">
        <is>
          <t>https://hips.hearstapps.com/hmg-prod/images/2026-toyota-venza.jpg</t>
        </is>
      </c>
      <c r="Z423" s="27" t="inlineStr">
        <is>
          <t>https://www.caranddriver.com/toyota/venza</t>
        </is>
      </c>
      <c r="AA423" s="17" t="inlineStr">
        <is>
          <t>Car and Driver Buyer's Guide</t>
        </is>
      </c>
    </row>
    <row r="424" ht="48" customHeight="1">
      <c r="A424" s="4" t="n">
        <v>2026</v>
      </c>
      <c r="B424" s="5" t="inlineStr">
        <is>
          <t>Toyota</t>
        </is>
      </c>
      <c r="C424" s="5" t="inlineStr">
        <is>
          <t>Corolla</t>
        </is>
      </c>
      <c r="D424" s="5" t="inlineStr">
        <is>
          <t>Hatchback XSE</t>
        </is>
      </c>
      <c r="E424" s="5" t="inlineStr">
        <is>
          <t>Sport Hatchback</t>
        </is>
      </c>
      <c r="F424" s="5" t="inlineStr">
        <is>
          <t>Gasoline</t>
        </is>
      </c>
      <c r="G424" s="6" t="n">
        <v>27000</v>
      </c>
      <c r="H424" s="7" t="n">
        <v>169</v>
      </c>
      <c r="I424" s="7" t="n">
        <v>151</v>
      </c>
      <c r="J424" s="5" t="inlineStr">
        <is>
          <t>2.0L Dynamic Force I4</t>
        </is>
      </c>
      <c r="K424" s="8" t="n">
        <v>2</v>
      </c>
      <c r="L424" s="4" t="n">
        <v>4</v>
      </c>
      <c r="M424" s="5" t="inlineStr">
        <is>
          <t>Dynamic-Shift CVT</t>
        </is>
      </c>
      <c r="N424" s="4" t="inlineStr">
        <is>
          <t>FWD</t>
        </is>
      </c>
      <c r="O424" s="4" t="inlineStr">
        <is>
          <t>33 (30/38)</t>
        </is>
      </c>
      <c r="P424" s="4" t="inlineStr">
        <is>
          <t>N/A</t>
        </is>
      </c>
      <c r="Q424" s="9" t="inlineStr">
        <is>
          <t>N/A</t>
        </is>
      </c>
      <c r="R424" s="4" t="n">
        <v>5</v>
      </c>
      <c r="S424" s="10" t="n">
        <v>17.8</v>
      </c>
      <c r="T424" s="4" t="inlineStr">
        <is>
          <t>N/A</t>
        </is>
      </c>
      <c r="U424" s="11" t="inlineStr">
        <is>
          <t>8.5/10</t>
        </is>
      </c>
      <c r="V424" s="12" t="inlineStr">
        <is>
          <t xml:space="preserve"> • Sharper handling dynamics than taller SUVs
 • Superior highway fuel economy
 • Easy maneuvering in urban spaces</t>
        </is>
      </c>
      <c r="W424" s="13" t="inlineStr">
        <is>
          <t xml:space="preserve"> • Less cargo flexibility than crossovers
 • Lower seating hip point for ingress
 • Fewer AWD options</t>
        </is>
      </c>
      <c r="X424" s="14" t="inlineStr">
        <is>
          <t>A well-proportioned sport hatchback offering superior driving manners and efficiency over conventional crossovers.</t>
        </is>
      </c>
      <c r="Y424" s="15" t="inlineStr">
        <is>
          <t>https://hips.hearstapps.com/hmg-prod/images/2026-toyota-corolla.jpg</t>
        </is>
      </c>
      <c r="Z424" s="15" t="inlineStr">
        <is>
          <t>https://www.caranddriver.com/toyota/corolla-hatchback</t>
        </is>
      </c>
      <c r="AA424" s="5" t="inlineStr">
        <is>
          <t>Car and Driver Buyer's Guide</t>
        </is>
      </c>
    </row>
    <row r="425" ht="48" customHeight="1">
      <c r="A425" s="16" t="n">
        <v>2026</v>
      </c>
      <c r="B425" s="17" t="inlineStr">
        <is>
          <t>Toyota</t>
        </is>
      </c>
      <c r="C425" s="17" t="inlineStr">
        <is>
          <t>Tacoma</t>
        </is>
      </c>
      <c r="D425" s="17" t="inlineStr">
        <is>
          <t>TRD Pro Double Cab</t>
        </is>
      </c>
      <c r="E425" s="17" t="inlineStr">
        <is>
          <t>Desert Runner Off-Road Pickup</t>
        </is>
      </c>
      <c r="F425" s="17" t="inlineStr">
        <is>
          <t>Gas-Electric Hybrid</t>
        </is>
      </c>
      <c r="G425" s="18" t="n">
        <v>65000</v>
      </c>
      <c r="H425" s="19" t="n">
        <v>326</v>
      </c>
      <c r="I425" s="19" t="n">
        <v>465</v>
      </c>
      <c r="J425" s="17" t="inlineStr">
        <is>
          <t>2.4L Turbo i-FORCE MAX Hybrid w/ Fox QS3</t>
        </is>
      </c>
      <c r="K425" s="20" t="n">
        <v>2.4</v>
      </c>
      <c r="L425" s="16" t="n">
        <v>4</v>
      </c>
      <c r="M425" s="17" t="inlineStr">
        <is>
          <t>8-Speed Auto</t>
        </is>
      </c>
      <c r="N425" s="16" t="inlineStr">
        <is>
          <t>4WD</t>
        </is>
      </c>
      <c r="O425" s="16" t="inlineStr">
        <is>
          <t>23 (22/24)</t>
        </is>
      </c>
      <c r="P425" s="16" t="inlineStr">
        <is>
          <t>N/A</t>
        </is>
      </c>
      <c r="Q425" s="22" t="n">
        <v>1.87</v>
      </c>
      <c r="R425" s="16" t="n">
        <v>5</v>
      </c>
      <c r="S425" s="22" t="n">
        <v>38</v>
      </c>
      <c r="T425" s="19" t="n">
        <v>6000</v>
      </c>
      <c r="U425" s="28" t="inlineStr">
        <is>
          <t>9.0/10</t>
        </is>
      </c>
      <c r="V425" s="24" t="inlineStr">
        <is>
          <t xml:space="preserve"> • Superb real-world fuel economy
 • Smooth electric-gas power handover
 • No range anxiety on long trips</t>
        </is>
      </c>
      <c r="W425" s="25" t="inlineStr">
        <is>
          <t xml:space="preserve"> • Added curb weight from battery packs
 • Slightly compromised cargo space
 • eCVT engine flare during passing</t>
        </is>
      </c>
      <c r="X425" s="26" t="inlineStr">
        <is>
          <t>A finely engineered gas-electric hybrid desert runner off-road pickup striking the optimal balance between high efficiency and long-distance practicality.</t>
        </is>
      </c>
      <c r="Y425" s="27" t="inlineStr">
        <is>
          <t>https://hips.hearstapps.com/hmg-prod/images/2026-toyota-tacoma.jpg</t>
        </is>
      </c>
      <c r="Z425" s="27" t="inlineStr">
        <is>
          <t>https://www.caranddriver.com/toyota/tacoma</t>
        </is>
      </c>
      <c r="AA425" s="17" t="inlineStr">
        <is>
          <t>Car and Driver Buyer's Guide</t>
        </is>
      </c>
    </row>
    <row r="426" ht="48" customHeight="1">
      <c r="A426" s="4" t="n">
        <v>2026</v>
      </c>
      <c r="B426" s="5" t="inlineStr">
        <is>
          <t>Toyota</t>
        </is>
      </c>
      <c r="C426" s="5" t="inlineStr">
        <is>
          <t>Tundra</t>
        </is>
      </c>
      <c r="D426" s="5" t="inlineStr">
        <is>
          <t>TRD Off-Road CrewMax 4x4</t>
        </is>
      </c>
      <c r="E426" s="5" t="inlineStr">
        <is>
          <t>Full-Size 4x4 Truck</t>
        </is>
      </c>
      <c r="F426" s="5" t="inlineStr">
        <is>
          <t>Gasoline</t>
        </is>
      </c>
      <c r="G426" s="6" t="n">
        <v>56000</v>
      </c>
      <c r="H426" s="7" t="n">
        <v>389</v>
      </c>
      <c r="I426" s="7" t="n">
        <v>479</v>
      </c>
      <c r="J426" s="5" t="inlineStr">
        <is>
          <t>3.4L Twin-Turbo V6</t>
        </is>
      </c>
      <c r="K426" s="8" t="n">
        <v>3.4</v>
      </c>
      <c r="L426" s="4" t="n">
        <v>6</v>
      </c>
      <c r="M426" s="5" t="inlineStr">
        <is>
          <t>10-Speed Auto</t>
        </is>
      </c>
      <c r="N426" s="4" t="inlineStr">
        <is>
          <t>4WD</t>
        </is>
      </c>
      <c r="O426" s="4" t="inlineStr">
        <is>
          <t>19 (17/22)</t>
        </is>
      </c>
      <c r="P426" s="4" t="inlineStr">
        <is>
          <t>N/A</t>
        </is>
      </c>
      <c r="Q426" s="9" t="inlineStr">
        <is>
          <t>N/A</t>
        </is>
      </c>
      <c r="R426" s="4" t="n">
        <v>5</v>
      </c>
      <c r="S426" s="10" t="n">
        <v>58.7</v>
      </c>
      <c r="T426" s="7" t="n">
        <v>11200</v>
      </c>
      <c r="U426" s="11" t="inlineStr">
        <is>
          <t>8.5/10</t>
        </is>
      </c>
      <c r="V426" s="12" t="inlineStr">
        <is>
          <t xml:space="preserve"> • Class-leading towing and hauling brawn
 • Palatial crew cab seating and storage
 • Intuitive cabin switchgear</t>
        </is>
      </c>
      <c r="W426" s="13" t="inlineStr">
        <is>
          <t xml:space="preserve"> • Large exterior dimensions in tight parking
 • Thirsty when loaded
 • Top trims push into luxury car pricing</t>
        </is>
      </c>
      <c r="X426" s="14" t="inlineStr">
        <is>
          <t>The backbone of American transportation, offering effortless hauling capability and luxury cabin appointments.</t>
        </is>
      </c>
      <c r="Y426" s="15" t="inlineStr">
        <is>
          <t>https://hips.hearstapps.com/hmg-prod/images/2026-toyota-tundra.jpg</t>
        </is>
      </c>
      <c r="Z426" s="15" t="inlineStr">
        <is>
          <t>https://www.caranddriver.com/toyota/tundra</t>
        </is>
      </c>
      <c r="AA426" s="5" t="inlineStr">
        <is>
          <t>Car and Driver Buyer's Guide</t>
        </is>
      </c>
    </row>
    <row r="427" ht="48" customHeight="1">
      <c r="A427" s="16" t="n">
        <v>2026</v>
      </c>
      <c r="B427" s="17" t="inlineStr">
        <is>
          <t>Ford</t>
        </is>
      </c>
      <c r="C427" s="17" t="inlineStr">
        <is>
          <t>Explorer</t>
        </is>
      </c>
      <c r="D427" s="17" t="inlineStr">
        <is>
          <t>Timberline 4WD</t>
        </is>
      </c>
      <c r="E427" s="17" t="inlineStr">
        <is>
          <t>Off-Road 3-Row SUV</t>
        </is>
      </c>
      <c r="F427" s="17" t="inlineStr">
        <is>
          <t>Gasoline</t>
        </is>
      </c>
      <c r="G427" s="18" t="n">
        <v>51000</v>
      </c>
      <c r="H427" s="19" t="n">
        <v>300</v>
      </c>
      <c r="I427" s="19" t="n">
        <v>310</v>
      </c>
      <c r="J427" s="17" t="inlineStr">
        <is>
          <t>2.3L EcoBoost Turbo I4 w/ Torsen LSD</t>
        </is>
      </c>
      <c r="K427" s="20" t="n">
        <v>2.3</v>
      </c>
      <c r="L427" s="16" t="n">
        <v>4</v>
      </c>
      <c r="M427" s="17" t="inlineStr">
        <is>
          <t>10-Speed Auto</t>
        </is>
      </c>
      <c r="N427" s="16" t="inlineStr">
        <is>
          <t>Intelligent 4WD</t>
        </is>
      </c>
      <c r="O427" s="16" t="inlineStr">
        <is>
          <t>21 (19/22)</t>
        </is>
      </c>
      <c r="P427" s="16" t="inlineStr">
        <is>
          <t>N/A</t>
        </is>
      </c>
      <c r="Q427" s="21" t="inlineStr">
        <is>
          <t>N/A</t>
        </is>
      </c>
      <c r="R427" s="16" t="n">
        <v>7</v>
      </c>
      <c r="S427" s="22" t="n">
        <v>18.2</v>
      </c>
      <c r="T427" s="19" t="n">
        <v>5300</v>
      </c>
      <c r="U427" s="28" t="inlineStr">
        <is>
          <t>8.0/10</t>
        </is>
      </c>
      <c r="V427" s="24" t="inlineStr">
        <is>
          <t xml:space="preserve"> • Spacious passenger and cargo room
 • Commanding elevated driving position
 • Confidence-inspiring all-weather grip</t>
        </is>
      </c>
      <c r="W427" s="25" t="inlineStr">
        <is>
          <t xml:space="preserve"> • Higher center of gravity than sedans
 • Fuel consumption under heavy load
 • Less engaging steering feel</t>
        </is>
      </c>
      <c r="X427" s="26" t="inlineStr">
        <is>
          <t>A highly versatile off-road 3-row suv that delivers generous space, modern safety tech, and daily utility.</t>
        </is>
      </c>
      <c r="Y427" s="27" t="inlineStr">
        <is>
          <t>https://hips.hearstapps.com/hmg-prod/images/2026-ford-explorer.jpg</t>
        </is>
      </c>
      <c r="Z427" s="27" t="inlineStr">
        <is>
          <t>https://www.caranddriver.com/ford/explorer</t>
        </is>
      </c>
      <c r="AA427" s="17" t="inlineStr">
        <is>
          <t>Car and Driver Buyer's Guide</t>
        </is>
      </c>
    </row>
    <row r="428" ht="48" customHeight="1">
      <c r="A428" s="4" t="n">
        <v>2026</v>
      </c>
      <c r="B428" s="5" t="inlineStr">
        <is>
          <t>Ford</t>
        </is>
      </c>
      <c r="C428" s="5" t="inlineStr">
        <is>
          <t>Bronco</t>
        </is>
      </c>
      <c r="D428" s="5" t="inlineStr">
        <is>
          <t>Black Diamond 4-Door</t>
        </is>
      </c>
      <c r="E428" s="5" t="inlineStr">
        <is>
          <t>Adventure Off-Roader</t>
        </is>
      </c>
      <c r="F428" s="5" t="inlineStr">
        <is>
          <t>Gasoline</t>
        </is>
      </c>
      <c r="G428" s="6" t="n">
        <v>46000</v>
      </c>
      <c r="H428" s="7" t="n">
        <v>300</v>
      </c>
      <c r="I428" s="7" t="n">
        <v>325</v>
      </c>
      <c r="J428" s="5" t="inlineStr">
        <is>
          <t>2.3L EcoBoost Turbo I4</t>
        </is>
      </c>
      <c r="K428" s="8" t="n">
        <v>2.3</v>
      </c>
      <c r="L428" s="4" t="n">
        <v>4</v>
      </c>
      <c r="M428" s="5" t="inlineStr">
        <is>
          <t>10-Speed Auto</t>
        </is>
      </c>
      <c r="N428" s="4" t="inlineStr">
        <is>
          <t>4WD</t>
        </is>
      </c>
      <c r="O428" s="4" t="inlineStr">
        <is>
          <t>17 (16/18)</t>
        </is>
      </c>
      <c r="P428" s="4" t="inlineStr">
        <is>
          <t>N/A</t>
        </is>
      </c>
      <c r="Q428" s="9" t="inlineStr">
        <is>
          <t>N/A</t>
        </is>
      </c>
      <c r="R428" s="4" t="n">
        <v>5</v>
      </c>
      <c r="S428" s="10" t="n">
        <v>35.6</v>
      </c>
      <c r="T428" s="7" t="n">
        <v>3500</v>
      </c>
      <c r="U428" s="11" t="inlineStr">
        <is>
          <t>8.5/10</t>
        </is>
      </c>
      <c r="V428" s="12" t="inlineStr">
        <is>
          <t xml:space="preserve"> • Removable doors and roof for open-air freedom
 • Unstoppable off-road rock crawl ability
 • High residual values</t>
        </is>
      </c>
      <c r="W428" s="13" t="inlineStr">
        <is>
          <t xml:space="preserve"> • Elevated highway wind and tire roar
 • Vague on-center steering wander
 • Choppy ride quality</t>
        </is>
      </c>
      <c r="X428" s="14" t="inlineStr">
        <is>
          <t>Iconic American adventure icons engineered to tackle trails where other vehicles fear to tread.</t>
        </is>
      </c>
      <c r="Y428" s="15" t="inlineStr">
        <is>
          <t>https://hips.hearstapps.com/hmg-prod/images/2026-ford-bronco.jpg</t>
        </is>
      </c>
      <c r="Z428" s="15" t="inlineStr">
        <is>
          <t>https://www.caranddriver.com/ford/bronco</t>
        </is>
      </c>
      <c r="AA428" s="5" t="inlineStr">
        <is>
          <t>Car and Driver Buyer's Guide</t>
        </is>
      </c>
    </row>
    <row r="429" ht="48" customHeight="1">
      <c r="A429" s="16" t="n">
        <v>2026</v>
      </c>
      <c r="B429" s="17" t="inlineStr">
        <is>
          <t>Ford</t>
        </is>
      </c>
      <c r="C429" s="17" t="inlineStr">
        <is>
          <t>Escape</t>
        </is>
      </c>
      <c r="D429" s="17" t="inlineStr">
        <is>
          <t>ST-Line Elite Hybrid AWD</t>
        </is>
      </c>
      <c r="E429" s="17" t="inlineStr">
        <is>
          <t>Compact Hybrid Crossover</t>
        </is>
      </c>
      <c r="F429" s="17" t="inlineStr">
        <is>
          <t>Gas-Electric Hybrid</t>
        </is>
      </c>
      <c r="G429" s="18" t="n">
        <v>40000</v>
      </c>
      <c r="H429" s="19" t="n">
        <v>192</v>
      </c>
      <c r="I429" s="19" t="n">
        <v>155</v>
      </c>
      <c r="J429" s="17" t="inlineStr">
        <is>
          <t>2.5L I4 + Motor</t>
        </is>
      </c>
      <c r="K429" s="20" t="n">
        <v>2.5</v>
      </c>
      <c r="L429" s="16" t="n">
        <v>4</v>
      </c>
      <c r="M429" s="17" t="inlineStr">
        <is>
          <t>eCVT</t>
        </is>
      </c>
      <c r="N429" s="16" t="inlineStr">
        <is>
          <t>AWD</t>
        </is>
      </c>
      <c r="O429" s="16" t="inlineStr">
        <is>
          <t>39 (42/36)</t>
        </is>
      </c>
      <c r="P429" s="16" t="inlineStr">
        <is>
          <t>N/A</t>
        </is>
      </c>
      <c r="Q429" s="22" t="n">
        <v>1.1</v>
      </c>
      <c r="R429" s="16" t="n">
        <v>5</v>
      </c>
      <c r="S429" s="22" t="n">
        <v>34.4</v>
      </c>
      <c r="T429" s="19" t="n">
        <v>1500</v>
      </c>
      <c r="U429" s="28" t="inlineStr">
        <is>
          <t>8.0/10</t>
        </is>
      </c>
      <c r="V429" s="24" t="inlineStr">
        <is>
          <t xml:space="preserve"> • Superb real-world fuel economy
 • Smooth electric-gas power handover
 • No range anxiety on long trips</t>
        </is>
      </c>
      <c r="W429" s="25" t="inlineStr">
        <is>
          <t xml:space="preserve"> • Added curb weight from battery packs
 • Slightly compromised cargo space
 • eCVT engine flare during passing</t>
        </is>
      </c>
      <c r="X429" s="26" t="inlineStr">
        <is>
          <t>A finely engineered gas-electric hybrid compact hybrid crossover striking the optimal balance between high efficiency and long-distance practicality.</t>
        </is>
      </c>
      <c r="Y429" s="27" t="inlineStr">
        <is>
          <t>https://hips.hearstapps.com/hmg-prod/images/2026-ford-escape.jpg</t>
        </is>
      </c>
      <c r="Z429" s="27" t="inlineStr">
        <is>
          <t>https://www.caranddriver.com/ford/escape</t>
        </is>
      </c>
      <c r="AA429" s="17" t="inlineStr">
        <is>
          <t>Car and Driver Buyer's Guide</t>
        </is>
      </c>
    </row>
    <row r="430" ht="48" customHeight="1">
      <c r="A430" s="4" t="n">
        <v>2026</v>
      </c>
      <c r="B430" s="5" t="inlineStr">
        <is>
          <t>Ford</t>
        </is>
      </c>
      <c r="C430" s="5" t="inlineStr">
        <is>
          <t>Escape</t>
        </is>
      </c>
      <c r="D430" s="5" t="inlineStr">
        <is>
          <t>Plug-in Hybrid FWD</t>
        </is>
      </c>
      <c r="E430" s="5" t="inlineStr">
        <is>
          <t>Compact Plug-In SUV</t>
        </is>
      </c>
      <c r="F430" s="5" t="inlineStr">
        <is>
          <t>PHEV</t>
        </is>
      </c>
      <c r="G430" s="6" t="n">
        <v>42000</v>
      </c>
      <c r="H430" s="7" t="n">
        <v>210</v>
      </c>
      <c r="I430" s="7" t="n">
        <v>199</v>
      </c>
      <c r="J430" s="5" t="inlineStr">
        <is>
          <t>2.5L I4 + Motor</t>
        </is>
      </c>
      <c r="K430" s="8" t="n">
        <v>2.5</v>
      </c>
      <c r="L430" s="4" t="n">
        <v>4</v>
      </c>
      <c r="M430" s="5" t="inlineStr">
        <is>
          <t>eCVT</t>
        </is>
      </c>
      <c r="N430" s="4" t="inlineStr">
        <is>
          <t>FWD</t>
        </is>
      </c>
      <c r="O430" s="4" t="inlineStr">
        <is>
          <t>101 MPGe / 40 Comb</t>
        </is>
      </c>
      <c r="P430" s="4" t="inlineStr">
        <is>
          <t>37</t>
        </is>
      </c>
      <c r="Q430" s="10" t="n">
        <v>14.4</v>
      </c>
      <c r="R430" s="4" t="n">
        <v>5</v>
      </c>
      <c r="S430" s="10" t="n">
        <v>34.4</v>
      </c>
      <c r="T430" s="7" t="n">
        <v>1500</v>
      </c>
      <c r="U430" s="11" t="inlineStr">
        <is>
          <t>8.0/10</t>
        </is>
      </c>
      <c r="V430" s="12" t="inlineStr">
        <is>
          <t xml:space="preserve"> • Superb real-world fuel economy
 • Smooth electric-gas power handover
 • No range anxiety on long trips</t>
        </is>
      </c>
      <c r="W430" s="13" t="inlineStr">
        <is>
          <t xml:space="preserve"> • Added curb weight from battery packs
 • Slightly compromised cargo space
 • eCVT engine flare during passing</t>
        </is>
      </c>
      <c r="X430" s="14" t="inlineStr">
        <is>
          <t>A finely engineered phev compact plug-in suv striking the optimal balance between high efficiency and long-distance practicality.</t>
        </is>
      </c>
      <c r="Y430" s="15" t="inlineStr">
        <is>
          <t>https://hips.hearstapps.com/hmg-prod/images/2026-ford-escape.jpg</t>
        </is>
      </c>
      <c r="Z430" s="15" t="inlineStr">
        <is>
          <t>https://www.caranddriver.com/ford/escape-plug-in-hybrid</t>
        </is>
      </c>
      <c r="AA430" s="5" t="inlineStr">
        <is>
          <t>Car and Driver Buyer's Guide</t>
        </is>
      </c>
    </row>
    <row r="431" ht="48" customHeight="1">
      <c r="A431" s="16" t="n">
        <v>2026</v>
      </c>
      <c r="B431" s="17" t="inlineStr">
        <is>
          <t>Subaru</t>
        </is>
      </c>
      <c r="C431" s="17" t="inlineStr">
        <is>
          <t>Legacy</t>
        </is>
      </c>
      <c r="D431" s="17" t="inlineStr">
        <is>
          <t>Sport</t>
        </is>
      </c>
      <c r="E431" s="17" t="inlineStr">
        <is>
          <t>Mid-Size Sport Sedan</t>
        </is>
      </c>
      <c r="F431" s="17" t="inlineStr">
        <is>
          <t>Gasoline</t>
        </is>
      </c>
      <c r="G431" s="18" t="n">
        <v>36000</v>
      </c>
      <c r="H431" s="19" t="n">
        <v>260</v>
      </c>
      <c r="I431" s="19" t="n">
        <v>277</v>
      </c>
      <c r="J431" s="17" t="inlineStr">
        <is>
          <t>2.4L Turbo Boxer-4</t>
        </is>
      </c>
      <c r="K431" s="20" t="n">
        <v>2.4</v>
      </c>
      <c r="L431" s="16" t="n">
        <v>4</v>
      </c>
      <c r="M431" s="17" t="inlineStr">
        <is>
          <t>Lineartronic CVT</t>
        </is>
      </c>
      <c r="N431" s="16" t="inlineStr">
        <is>
          <t>Symmetrical AWD</t>
        </is>
      </c>
      <c r="O431" s="16" t="inlineStr">
        <is>
          <t>26 (23/31)</t>
        </is>
      </c>
      <c r="P431" s="16" t="inlineStr">
        <is>
          <t>N/A</t>
        </is>
      </c>
      <c r="Q431" s="21" t="inlineStr">
        <is>
          <t>N/A</t>
        </is>
      </c>
      <c r="R431" s="16" t="n">
        <v>5</v>
      </c>
      <c r="S431" s="22" t="n">
        <v>15.1</v>
      </c>
      <c r="T431" s="16" t="inlineStr">
        <is>
          <t>N/A</t>
        </is>
      </c>
      <c r="U431" s="28" t="inlineStr">
        <is>
          <t>8.0/10</t>
        </is>
      </c>
      <c r="V431" s="24" t="inlineStr">
        <is>
          <t xml:space="preserve"> • Sharper handling dynamics than taller SUVs
 • Superior highway fuel economy
 • Easy maneuvering in urban spaces</t>
        </is>
      </c>
      <c r="W431" s="25" t="inlineStr">
        <is>
          <t xml:space="preserve"> • Less cargo flexibility than crossovers
 • Lower seating hip point for ingress
 • Fewer AWD options</t>
        </is>
      </c>
      <c r="X431" s="26" t="inlineStr">
        <is>
          <t>A well-proportioned mid-size sport sedan offering superior driving manners and efficiency over conventional crossovers.</t>
        </is>
      </c>
      <c r="Y431" s="27" t="inlineStr">
        <is>
          <t>https://hips.hearstapps.com/hmg-prod/images/2026-subaru-legacy.jpg</t>
        </is>
      </c>
      <c r="Z431" s="27" t="inlineStr">
        <is>
          <t>https://www.caranddriver.com/subaru/legacy</t>
        </is>
      </c>
      <c r="AA431" s="17" t="inlineStr">
        <is>
          <t>Car and Driver Buyer's Guide</t>
        </is>
      </c>
    </row>
    <row r="432" ht="48" customHeight="1">
      <c r="A432" s="4" t="n">
        <v>2026</v>
      </c>
      <c r="B432" s="5" t="inlineStr">
        <is>
          <t>Subaru</t>
        </is>
      </c>
      <c r="C432" s="5" t="inlineStr">
        <is>
          <t>Outback</t>
        </is>
      </c>
      <c r="D432" s="5" t="inlineStr">
        <is>
          <t>Wilderness</t>
        </is>
      </c>
      <c r="E432" s="5" t="inlineStr">
        <is>
          <t>Rugged Off-Road Wagon</t>
        </is>
      </c>
      <c r="F432" s="5" t="inlineStr">
        <is>
          <t>Gasoline</t>
        </is>
      </c>
      <c r="G432" s="6" t="n">
        <v>42000</v>
      </c>
      <c r="H432" s="7" t="n">
        <v>260</v>
      </c>
      <c r="I432" s="7" t="n">
        <v>277</v>
      </c>
      <c r="J432" s="5" t="inlineStr">
        <is>
          <t>2.4L Turbo Boxer-4 w/ All-Terrain Tires</t>
        </is>
      </c>
      <c r="K432" s="8" t="n">
        <v>2.4</v>
      </c>
      <c r="L432" s="4" t="n">
        <v>4</v>
      </c>
      <c r="M432" s="5" t="inlineStr">
        <is>
          <t>Lineartronic CVT</t>
        </is>
      </c>
      <c r="N432" s="4" t="inlineStr">
        <is>
          <t>Symmetrical AWD</t>
        </is>
      </c>
      <c r="O432" s="4" t="inlineStr">
        <is>
          <t>23 (21/26)</t>
        </is>
      </c>
      <c r="P432" s="4" t="inlineStr">
        <is>
          <t>N/A</t>
        </is>
      </c>
      <c r="Q432" s="9" t="inlineStr">
        <is>
          <t>N/A</t>
        </is>
      </c>
      <c r="R432" s="4" t="n">
        <v>5</v>
      </c>
      <c r="S432" s="10" t="n">
        <v>32.6</v>
      </c>
      <c r="T432" s="7" t="n">
        <v>3500</v>
      </c>
      <c r="U432" s="11" t="inlineStr">
        <is>
          <t>9.0/10</t>
        </is>
      </c>
      <c r="V432" s="12" t="inlineStr">
        <is>
          <t xml:space="preserve"> • Refined performance and chassis poise
 • Comfortable ergonomic cabin
 • Comprehensive safety suite</t>
        </is>
      </c>
      <c r="W432" s="13" t="inlineStr">
        <is>
          <t xml:space="preserve"> • Firm ride on optional large wheels
 • Option packages add up quickly
 • Infotainment learning curve</t>
        </is>
      </c>
      <c r="X432" s="14" t="inlineStr">
        <is>
          <t>A solid, well-rounded contender in the US rugged off-road wagon class with competitive dynamics.</t>
        </is>
      </c>
      <c r="Y432" s="15" t="inlineStr">
        <is>
          <t>https://hips.hearstapps.com/hmg-prod/images/2026-subaru-outback.jpg</t>
        </is>
      </c>
      <c r="Z432" s="15" t="inlineStr">
        <is>
          <t>https://www.caranddriver.com/subaru/outback</t>
        </is>
      </c>
      <c r="AA432" s="5" t="inlineStr">
        <is>
          <t>Car and Driver Buyer's Guide</t>
        </is>
      </c>
    </row>
    <row r="433" ht="48" customHeight="1">
      <c r="A433" s="16" t="n">
        <v>2026</v>
      </c>
      <c r="B433" s="17" t="inlineStr">
        <is>
          <t>Subaru</t>
        </is>
      </c>
      <c r="C433" s="17" t="inlineStr">
        <is>
          <t>Forester</t>
        </is>
      </c>
      <c r="D433" s="17" t="inlineStr">
        <is>
          <t>Wilderness</t>
        </is>
      </c>
      <c r="E433" s="17" t="inlineStr">
        <is>
          <t>Rugged Compact SUV</t>
        </is>
      </c>
      <c r="F433" s="17" t="inlineStr">
        <is>
          <t>Gasoline</t>
        </is>
      </c>
      <c r="G433" s="18" t="n">
        <v>36500</v>
      </c>
      <c r="H433" s="19" t="n">
        <v>182</v>
      </c>
      <c r="I433" s="19" t="n">
        <v>176</v>
      </c>
      <c r="J433" s="17" t="inlineStr">
        <is>
          <t>2.5L Boxer-4 w/ 9.2-in Clearance</t>
        </is>
      </c>
      <c r="K433" s="20" t="n">
        <v>2.5</v>
      </c>
      <c r="L433" s="16" t="n">
        <v>4</v>
      </c>
      <c r="M433" s="17" t="inlineStr">
        <is>
          <t>Lineartronic CVT</t>
        </is>
      </c>
      <c r="N433" s="16" t="inlineStr">
        <is>
          <t>Symmetrical AWD</t>
        </is>
      </c>
      <c r="O433" s="16" t="inlineStr">
        <is>
          <t>26 (25/28)</t>
        </is>
      </c>
      <c r="P433" s="16" t="inlineStr">
        <is>
          <t>N/A</t>
        </is>
      </c>
      <c r="Q433" s="21" t="inlineStr">
        <is>
          <t>N/A</t>
        </is>
      </c>
      <c r="R433" s="16" t="n">
        <v>5</v>
      </c>
      <c r="S433" s="22" t="n">
        <v>26.9</v>
      </c>
      <c r="T433" s="19" t="n">
        <v>3000</v>
      </c>
      <c r="U433" s="28" t="inlineStr">
        <is>
          <t>8.5/10</t>
        </is>
      </c>
      <c r="V433" s="24" t="inlineStr">
        <is>
          <t xml:space="preserve"> • Spacious passenger and cargo room
 • Commanding elevated driving position
 • Confidence-inspiring all-weather grip</t>
        </is>
      </c>
      <c r="W433" s="25" t="inlineStr">
        <is>
          <t xml:space="preserve"> • Higher center of gravity than sedans
 • Fuel consumption under heavy load
 • Less engaging steering feel</t>
        </is>
      </c>
      <c r="X433" s="26" t="inlineStr">
        <is>
          <t>A highly versatile rugged compact suv that delivers generous space, modern safety tech, and daily utility.</t>
        </is>
      </c>
      <c r="Y433" s="27" t="inlineStr">
        <is>
          <t>https://hips.hearstapps.com/hmg-prod/images/2026-subaru-forester.jpg</t>
        </is>
      </c>
      <c r="Z433" s="27" t="inlineStr">
        <is>
          <t>https://www.caranddriver.com/subaru/forester</t>
        </is>
      </c>
      <c r="AA433" s="17" t="inlineStr">
        <is>
          <t>Car and Driver Buyer's Guide</t>
        </is>
      </c>
    </row>
    <row r="434" ht="48" customHeight="1">
      <c r="A434" s="4" t="n">
        <v>2026</v>
      </c>
      <c r="B434" s="5" t="inlineStr">
        <is>
          <t>Hyundai</t>
        </is>
      </c>
      <c r="C434" s="5" t="inlineStr">
        <is>
          <t>Kona</t>
        </is>
      </c>
      <c r="D434" s="5" t="inlineStr">
        <is>
          <t>N-Line AWD</t>
        </is>
      </c>
      <c r="E434" s="5" t="inlineStr">
        <is>
          <t>Sport Compact Crossover</t>
        </is>
      </c>
      <c r="F434" s="5" t="inlineStr">
        <is>
          <t>Gasoline</t>
        </is>
      </c>
      <c r="G434" s="6" t="n">
        <v>32000</v>
      </c>
      <c r="H434" s="7" t="n">
        <v>190</v>
      </c>
      <c r="I434" s="7" t="n">
        <v>195</v>
      </c>
      <c r="J434" s="5" t="inlineStr">
        <is>
          <t>1.6L Turbo I4</t>
        </is>
      </c>
      <c r="K434" s="8" t="n">
        <v>1.6</v>
      </c>
      <c r="L434" s="4" t="n">
        <v>4</v>
      </c>
      <c r="M434" s="5" t="inlineStr">
        <is>
          <t>8-Speed Auto</t>
        </is>
      </c>
      <c r="N434" s="4" t="inlineStr">
        <is>
          <t>HTRAC AWD</t>
        </is>
      </c>
      <c r="O434" s="4" t="inlineStr">
        <is>
          <t>26 (24/29)</t>
        </is>
      </c>
      <c r="P434" s="4" t="inlineStr">
        <is>
          <t>N/A</t>
        </is>
      </c>
      <c r="Q434" s="9" t="inlineStr">
        <is>
          <t>N/A</t>
        </is>
      </c>
      <c r="R434" s="4" t="n">
        <v>5</v>
      </c>
      <c r="S434" s="10" t="n">
        <v>25.5</v>
      </c>
      <c r="T434" s="4" t="inlineStr">
        <is>
          <t>N/A</t>
        </is>
      </c>
      <c r="U434" s="11" t="inlineStr">
        <is>
          <t>8.5/10</t>
        </is>
      </c>
      <c r="V434" s="12" t="inlineStr">
        <is>
          <t xml:space="preserve"> • Spacious passenger and cargo room
 • Commanding elevated driving position
 • Confidence-inspiring all-weather grip</t>
        </is>
      </c>
      <c r="W434" s="13" t="inlineStr">
        <is>
          <t xml:space="preserve"> • Higher center of gravity than sedans
 • Fuel consumption under heavy load
 • Less engaging steering feel</t>
        </is>
      </c>
      <c r="X434" s="14" t="inlineStr">
        <is>
          <t>A highly versatile sport compact crossover that delivers generous space, modern safety tech, and daily utility.</t>
        </is>
      </c>
      <c r="Y434" s="15" t="inlineStr">
        <is>
          <t>https://hips.hearstapps.com/hmg-prod/images/2026-hyundai-kona.jpg</t>
        </is>
      </c>
      <c r="Z434" s="15" t="inlineStr">
        <is>
          <t>https://www.caranddriver.com/hyundai/kona</t>
        </is>
      </c>
      <c r="AA434" s="5" t="inlineStr">
        <is>
          <t>Car and Driver Editors' Choice</t>
        </is>
      </c>
    </row>
    <row r="435" ht="48" customHeight="1">
      <c r="A435" s="16" t="n">
        <v>2026</v>
      </c>
      <c r="B435" s="17" t="inlineStr">
        <is>
          <t>Hyundai</t>
        </is>
      </c>
      <c r="C435" s="17" t="inlineStr">
        <is>
          <t>Elantra</t>
        </is>
      </c>
      <c r="D435" s="17" t="inlineStr">
        <is>
          <t>Hybrid Limited</t>
        </is>
      </c>
      <c r="E435" s="17" t="inlineStr">
        <is>
          <t>Compact Hybrid Sedan</t>
        </is>
      </c>
      <c r="F435" s="17" t="inlineStr">
        <is>
          <t>Gas-Electric Hybrid</t>
        </is>
      </c>
      <c r="G435" s="18" t="n">
        <v>30500</v>
      </c>
      <c r="H435" s="19" t="n">
        <v>139</v>
      </c>
      <c r="I435" s="19" t="n">
        <v>195</v>
      </c>
      <c r="J435" s="17" t="inlineStr">
        <is>
          <t>1.6L I4 + Motor</t>
        </is>
      </c>
      <c r="K435" s="20" t="n">
        <v>1.6</v>
      </c>
      <c r="L435" s="16" t="n">
        <v>4</v>
      </c>
      <c r="M435" s="17" t="inlineStr">
        <is>
          <t>6-Speed Dual-Clutch</t>
        </is>
      </c>
      <c r="N435" s="16" t="inlineStr">
        <is>
          <t>FWD</t>
        </is>
      </c>
      <c r="O435" s="16" t="inlineStr">
        <is>
          <t>50 (49/52)</t>
        </is>
      </c>
      <c r="P435" s="16" t="inlineStr">
        <is>
          <t>N/A</t>
        </is>
      </c>
      <c r="Q435" s="22" t="n">
        <v>1.32</v>
      </c>
      <c r="R435" s="16" t="n">
        <v>5</v>
      </c>
      <c r="S435" s="22" t="n">
        <v>14.2</v>
      </c>
      <c r="T435" s="16" t="inlineStr">
        <is>
          <t>N/A</t>
        </is>
      </c>
      <c r="U435" s="28" t="inlineStr">
        <is>
          <t>9.0/10</t>
        </is>
      </c>
      <c r="V435" s="24" t="inlineStr">
        <is>
          <t xml:space="preserve"> • Superb real-world fuel economy
 • Smooth electric-gas power handover
 • No range anxiety on long trips</t>
        </is>
      </c>
      <c r="W435" s="25" t="inlineStr">
        <is>
          <t xml:space="preserve"> • Added curb weight from battery packs
 • Slightly compromised cargo space
 • eCVT engine flare during passing</t>
        </is>
      </c>
      <c r="X435" s="26" t="inlineStr">
        <is>
          <t>A finely engineered gas-electric hybrid compact hybrid sedan striking the optimal balance between high efficiency and long-distance practicality.</t>
        </is>
      </c>
      <c r="Y435" s="27" t="inlineStr">
        <is>
          <t>https://hips.hearstapps.com/hmg-prod/images/2026-hyundai-elantra.jpg</t>
        </is>
      </c>
      <c r="Z435" s="27" t="inlineStr">
        <is>
          <t>https://www.caranddriver.com/hyundai/elantra</t>
        </is>
      </c>
      <c r="AA435" s="17" t="inlineStr">
        <is>
          <t>Car and Driver Editors' Choice</t>
        </is>
      </c>
    </row>
    <row r="436" ht="48" customHeight="1">
      <c r="A436" s="4" t="n">
        <v>2026</v>
      </c>
      <c r="B436" s="5" t="inlineStr">
        <is>
          <t>Kia</t>
        </is>
      </c>
      <c r="C436" s="5" t="inlineStr">
        <is>
          <t>Niro</t>
        </is>
      </c>
      <c r="D436" s="5" t="inlineStr">
        <is>
          <t>Wave EV</t>
        </is>
      </c>
      <c r="E436" s="5" t="inlineStr">
        <is>
          <t>Compact Electric Crossover</t>
        </is>
      </c>
      <c r="F436" s="5" t="inlineStr">
        <is>
          <t>Electric</t>
        </is>
      </c>
      <c r="G436" s="6" t="n">
        <v>45500</v>
      </c>
      <c r="H436" s="7" t="n">
        <v>201</v>
      </c>
      <c r="I436" s="7" t="n">
        <v>188</v>
      </c>
      <c r="J436" s="5" t="inlineStr">
        <is>
          <t>Front Electric Motor</t>
        </is>
      </c>
      <c r="K436" s="4" t="inlineStr">
        <is>
          <t>N/A</t>
        </is>
      </c>
      <c r="L436" s="4" t="n">
        <v>0</v>
      </c>
      <c r="M436" s="5" t="inlineStr">
        <is>
          <t>1-Speed Direct</t>
        </is>
      </c>
      <c r="N436" s="4" t="inlineStr">
        <is>
          <t>FWD</t>
        </is>
      </c>
      <c r="O436" s="4" t="inlineStr">
        <is>
          <t>113 MPGe</t>
        </is>
      </c>
      <c r="P436" s="4" t="inlineStr">
        <is>
          <t>253</t>
        </is>
      </c>
      <c r="Q436" s="10" t="n">
        <v>64.8</v>
      </c>
      <c r="R436" s="4" t="n">
        <v>5</v>
      </c>
      <c r="S436" s="10" t="n">
        <v>22.8</v>
      </c>
      <c r="T436" s="4" t="inlineStr">
        <is>
          <t>N/A</t>
        </is>
      </c>
      <c r="U436" s="11" t="inlineStr">
        <is>
          <t>8.5/10</t>
        </is>
      </c>
      <c r="V436" s="12" t="inlineStr">
        <is>
          <t xml:space="preserve"> • Silent, instantaneous acceleration
 • Low center of gravity enhances stability
 • Zero tailpipe emissions</t>
        </is>
      </c>
      <c r="W436" s="13" t="inlineStr">
        <is>
          <t xml:space="preserve"> • Highway range drops at sustained speed
 • Public charging network variability
 • Pricier initial purchase cost</t>
        </is>
      </c>
      <c r="X436" s="14" t="inlineStr">
        <is>
          <t>A compelling electric entry in the compact electric crossover segment offering smooth power delivery and advanced tech.</t>
        </is>
      </c>
      <c r="Y436" s="15" t="inlineStr">
        <is>
          <t>https://hips.hearstapps.com/hmg-prod/images/2026-kia-niro.jpg</t>
        </is>
      </c>
      <c r="Z436" s="15" t="inlineStr">
        <is>
          <t>https://www.caranddriver.com/kia/niro-ev</t>
        </is>
      </c>
      <c r="AA436" s="5" t="inlineStr">
        <is>
          <t>Car and Driver Buyer's Guide</t>
        </is>
      </c>
    </row>
    <row r="437" ht="48" customHeight="1">
      <c r="A437" s="16" t="n">
        <v>2026</v>
      </c>
      <c r="B437" s="17" t="inlineStr">
        <is>
          <t>Kia</t>
        </is>
      </c>
      <c r="C437" s="17" t="inlineStr">
        <is>
          <t>Sorento</t>
        </is>
      </c>
      <c r="D437" s="17" t="inlineStr">
        <is>
          <t>Plug-in Hybrid SX Prestige</t>
        </is>
      </c>
      <c r="E437" s="17" t="inlineStr">
        <is>
          <t>3-Row Plug-In SUV</t>
        </is>
      </c>
      <c r="F437" s="17" t="inlineStr">
        <is>
          <t>PHEV</t>
        </is>
      </c>
      <c r="G437" s="18" t="n">
        <v>52000</v>
      </c>
      <c r="H437" s="19" t="n">
        <v>261</v>
      </c>
      <c r="I437" s="19" t="n">
        <v>258</v>
      </c>
      <c r="J437" s="17" t="inlineStr">
        <is>
          <t>1.6L Turbo I4 + Motor</t>
        </is>
      </c>
      <c r="K437" s="20" t="n">
        <v>1.6</v>
      </c>
      <c r="L437" s="16" t="n">
        <v>4</v>
      </c>
      <c r="M437" s="17" t="inlineStr">
        <is>
          <t>6-Speed Auto</t>
        </is>
      </c>
      <c r="N437" s="16" t="inlineStr">
        <is>
          <t>AWD</t>
        </is>
      </c>
      <c r="O437" s="16" t="inlineStr">
        <is>
          <t>79 MPGe / 34 Comb</t>
        </is>
      </c>
      <c r="P437" s="16" t="inlineStr">
        <is>
          <t>32</t>
        </is>
      </c>
      <c r="Q437" s="22" t="n">
        <v>14</v>
      </c>
      <c r="R437" s="16" t="n">
        <v>6</v>
      </c>
      <c r="S437" s="22" t="n">
        <v>12.6</v>
      </c>
      <c r="T437" s="19" t="n">
        <v>2000</v>
      </c>
      <c r="U437" s="28" t="inlineStr">
        <is>
          <t>8.5/10</t>
        </is>
      </c>
      <c r="V437" s="24" t="inlineStr">
        <is>
          <t xml:space="preserve"> • Superb real-world fuel economy
 • Smooth electric-gas power handover
 • No range anxiety on long trips</t>
        </is>
      </c>
      <c r="W437" s="25" t="inlineStr">
        <is>
          <t xml:space="preserve"> • Added curb weight from battery packs
 • Slightly compromised cargo space
 • eCVT engine flare during passing</t>
        </is>
      </c>
      <c r="X437" s="26" t="inlineStr">
        <is>
          <t>A finely engineered phev 3-row plug-in suv striking the optimal balance between high efficiency and long-distance practicality.</t>
        </is>
      </c>
      <c r="Y437" s="27" t="inlineStr">
        <is>
          <t>https://hips.hearstapps.com/hmg-prod/images/2026-kia-sorento.jpg</t>
        </is>
      </c>
      <c r="Z437" s="27" t="inlineStr">
        <is>
          <t>https://www.caranddriver.com/kia/sorento-plug-in-hybrid</t>
        </is>
      </c>
      <c r="AA437" s="17" t="inlineStr">
        <is>
          <t>Car and Driver Buyer's Guide</t>
        </is>
      </c>
    </row>
    <row r="438" ht="48" customHeight="1">
      <c r="A438" s="4" t="n">
        <v>2026</v>
      </c>
      <c r="B438" s="5" t="inlineStr">
        <is>
          <t>Kia</t>
        </is>
      </c>
      <c r="C438" s="5" t="inlineStr">
        <is>
          <t>EV6</t>
        </is>
      </c>
      <c r="D438" s="5" t="inlineStr">
        <is>
          <t>Long Range Wind AWD</t>
        </is>
      </c>
      <c r="E438" s="5" t="inlineStr">
        <is>
          <t>Compact EV Crossover</t>
        </is>
      </c>
      <c r="F438" s="5" t="inlineStr">
        <is>
          <t>Electric</t>
        </is>
      </c>
      <c r="G438" s="6" t="n">
        <v>54000</v>
      </c>
      <c r="H438" s="7" t="n">
        <v>320</v>
      </c>
      <c r="I438" s="7" t="n">
        <v>446</v>
      </c>
      <c r="J438" s="5" t="inlineStr">
        <is>
          <t>Dual Electric Motors</t>
        </is>
      </c>
      <c r="K438" s="4" t="inlineStr">
        <is>
          <t>N/A</t>
        </is>
      </c>
      <c r="L438" s="4" t="n">
        <v>0</v>
      </c>
      <c r="M438" s="5" t="inlineStr">
        <is>
          <t>1-Speed Direct</t>
        </is>
      </c>
      <c r="N438" s="4" t="inlineStr">
        <is>
          <t>AWD</t>
        </is>
      </c>
      <c r="O438" s="4" t="inlineStr">
        <is>
          <t>96 MPGe</t>
        </is>
      </c>
      <c r="P438" s="4" t="inlineStr">
        <is>
          <t>282</t>
        </is>
      </c>
      <c r="Q438" s="10" t="n">
        <v>77.40000000000001</v>
      </c>
      <c r="R438" s="4" t="n">
        <v>5</v>
      </c>
      <c r="S438" s="10" t="n">
        <v>24.4</v>
      </c>
      <c r="T438" s="7" t="n">
        <v>2300</v>
      </c>
      <c r="U438" s="29" t="inlineStr">
        <is>
          <t>9.5/10</t>
        </is>
      </c>
      <c r="V438" s="12" t="inlineStr">
        <is>
          <t xml:space="preserve"> • Ultra-fast 800V DC fast-charging
 • Distinctive concept-car retro design
 • Vast, open interior architecture</t>
        </is>
      </c>
      <c r="W438" s="13" t="inlineStr">
        <is>
          <t xml:space="preserve"> • Rear wiper omitted on earlier models
 • Polarizing styling for some buyers
 • Real-world cold weather range drops</t>
        </is>
      </c>
      <c r="X438" s="14" t="inlineStr">
        <is>
          <t>Groundbreaking EV architecture with super-fast charging speeds and design that turns heads everywhere.</t>
        </is>
      </c>
      <c r="Y438" s="15" t="inlineStr">
        <is>
          <t>https://hips.hearstapps.com/hmg-prod/images/2026-kia-ev6.jpg</t>
        </is>
      </c>
      <c r="Z438" s="15" t="inlineStr">
        <is>
          <t>https://www.caranddriver.com/kia/ev6</t>
        </is>
      </c>
      <c r="AA438" s="5" t="inlineStr">
        <is>
          <t>Car and Driver 10Best Winner</t>
        </is>
      </c>
    </row>
    <row r="439" ht="48" customHeight="1">
      <c r="A439" s="16" t="n">
        <v>2026</v>
      </c>
      <c r="B439" s="17" t="inlineStr">
        <is>
          <t>Mazda</t>
        </is>
      </c>
      <c r="C439" s="17" t="inlineStr">
        <is>
          <t>CX-90</t>
        </is>
      </c>
      <c r="D439" s="17" t="inlineStr">
        <is>
          <t>PHEV Premium Plus</t>
        </is>
      </c>
      <c r="E439" s="17" t="inlineStr">
        <is>
          <t>3-Row Plug-In Hybrid SUV</t>
        </is>
      </c>
      <c r="F439" s="17" t="inlineStr">
        <is>
          <t>PHEV</t>
        </is>
      </c>
      <c r="G439" s="18" t="n">
        <v>60000</v>
      </c>
      <c r="H439" s="19" t="n">
        <v>323</v>
      </c>
      <c r="I439" s="19" t="n">
        <v>369</v>
      </c>
      <c r="J439" s="17" t="inlineStr">
        <is>
          <t>2.5L I4 + Electric Motor</t>
        </is>
      </c>
      <c r="K439" s="20" t="n">
        <v>2.5</v>
      </c>
      <c r="L439" s="16" t="n">
        <v>4</v>
      </c>
      <c r="M439" s="17" t="inlineStr">
        <is>
          <t>8-Speed Multi-Clutch</t>
        </is>
      </c>
      <c r="N439" s="16" t="inlineStr">
        <is>
          <t>i-Activ AWD</t>
        </is>
      </c>
      <c r="O439" s="16" t="inlineStr">
        <is>
          <t>56 MPGe / 25 Comb</t>
        </is>
      </c>
      <c r="P439" s="16" t="inlineStr">
        <is>
          <t>26</t>
        </is>
      </c>
      <c r="Q439" s="22" t="n">
        <v>17.8</v>
      </c>
      <c r="R439" s="16" t="n">
        <v>7</v>
      </c>
      <c r="S439" s="22" t="n">
        <v>15.9</v>
      </c>
      <c r="T439" s="19" t="n">
        <v>3500</v>
      </c>
      <c r="U439" s="28" t="inlineStr">
        <is>
          <t>8.5/10</t>
        </is>
      </c>
      <c r="V439" s="24" t="inlineStr">
        <is>
          <t xml:space="preserve"> • Superb real-world fuel economy
 • Smooth electric-gas power handover
 • No range anxiety on long trips</t>
        </is>
      </c>
      <c r="W439" s="25" t="inlineStr">
        <is>
          <t xml:space="preserve"> • Added curb weight from battery packs
 • Slightly compromised cargo space
 • eCVT engine flare during passing</t>
        </is>
      </c>
      <c r="X439" s="26" t="inlineStr">
        <is>
          <t>A finely engineered phev 3-row plug-in hybrid suv striking the optimal balance between high efficiency and long-distance practicality.</t>
        </is>
      </c>
      <c r="Y439" s="27" t="inlineStr">
        <is>
          <t>https://hips.hearstapps.com/hmg-prod/images/2026-mazda-cx-90.jpg</t>
        </is>
      </c>
      <c r="Z439" s="27" t="inlineStr">
        <is>
          <t>https://www.caranddriver.com/mazda/cx-90-phev</t>
        </is>
      </c>
      <c r="AA439" s="17" t="inlineStr">
        <is>
          <t>Car and Driver Buyer's Guide</t>
        </is>
      </c>
    </row>
    <row r="440" ht="48" customHeight="1">
      <c r="A440" s="4" t="n">
        <v>2026</v>
      </c>
      <c r="B440" s="5" t="inlineStr">
        <is>
          <t>Mazda</t>
        </is>
      </c>
      <c r="C440" s="5" t="inlineStr">
        <is>
          <t>CX-70</t>
        </is>
      </c>
      <c r="D440" s="5" t="inlineStr">
        <is>
          <t>PHEV Premium Plus</t>
        </is>
      </c>
      <c r="E440" s="5" t="inlineStr">
        <is>
          <t>Mid-Size 2-Row PHEV SUV</t>
        </is>
      </c>
      <c r="F440" s="5" t="inlineStr">
        <is>
          <t>PHEV</t>
        </is>
      </c>
      <c r="G440" s="6" t="n">
        <v>58500</v>
      </c>
      <c r="H440" s="7" t="n">
        <v>323</v>
      </c>
      <c r="I440" s="7" t="n">
        <v>369</v>
      </c>
      <c r="J440" s="5" t="inlineStr">
        <is>
          <t>2.5L I4 + Electric Motor</t>
        </is>
      </c>
      <c r="K440" s="8" t="n">
        <v>2.5</v>
      </c>
      <c r="L440" s="4" t="n">
        <v>4</v>
      </c>
      <c r="M440" s="5" t="inlineStr">
        <is>
          <t>8-Speed Multi-Clutch</t>
        </is>
      </c>
      <c r="N440" s="4" t="inlineStr">
        <is>
          <t>i-Activ AWD</t>
        </is>
      </c>
      <c r="O440" s="4" t="inlineStr">
        <is>
          <t>56 MPGe / 25 Comb</t>
        </is>
      </c>
      <c r="P440" s="4" t="inlineStr">
        <is>
          <t>26</t>
        </is>
      </c>
      <c r="Q440" s="10" t="n">
        <v>17.8</v>
      </c>
      <c r="R440" s="4" t="n">
        <v>5</v>
      </c>
      <c r="S440" s="10" t="n">
        <v>39.6</v>
      </c>
      <c r="T440" s="7" t="n">
        <v>3500</v>
      </c>
      <c r="U440" s="11" t="inlineStr">
        <is>
          <t>8.5/10</t>
        </is>
      </c>
      <c r="V440" s="12" t="inlineStr">
        <is>
          <t xml:space="preserve"> • Superb real-world fuel economy
 • Smooth electric-gas power handover
 • No range anxiety on long trips</t>
        </is>
      </c>
      <c r="W440" s="13" t="inlineStr">
        <is>
          <t xml:space="preserve"> • Added curb weight from battery packs
 • Slightly compromised cargo space
 • eCVT engine flare during passing</t>
        </is>
      </c>
      <c r="X440" s="14" t="inlineStr">
        <is>
          <t>A finely engineered phev mid-size 2-row phev suv striking the optimal balance between high efficiency and long-distance practicality.</t>
        </is>
      </c>
      <c r="Y440" s="15" t="inlineStr">
        <is>
          <t>https://hips.hearstapps.com/hmg-prod/images/2026-mazda-cx-70.jpg</t>
        </is>
      </c>
      <c r="Z440" s="15" t="inlineStr">
        <is>
          <t>https://www.caranddriver.com/mazda/cx-70-phev</t>
        </is>
      </c>
      <c r="AA440" s="5" t="inlineStr">
        <is>
          <t>Car and Driver Buyer's Guide</t>
        </is>
      </c>
    </row>
    <row r="441" ht="48" customHeight="1">
      <c r="A441" s="16" t="n">
        <v>2026</v>
      </c>
      <c r="B441" s="17" t="inlineStr">
        <is>
          <t>BMW</t>
        </is>
      </c>
      <c r="C441" s="17" t="inlineStr">
        <is>
          <t>2-Series Gran Coupe</t>
        </is>
      </c>
      <c r="D441" s="17" t="inlineStr">
        <is>
          <t>M235 xDrive</t>
        </is>
      </c>
      <c r="E441" s="17" t="inlineStr">
        <is>
          <t>Subcompact Sport Sedan</t>
        </is>
      </c>
      <c r="F441" s="17" t="inlineStr">
        <is>
          <t>Gasoline</t>
        </is>
      </c>
      <c r="G441" s="18" t="n">
        <v>50000</v>
      </c>
      <c r="H441" s="19" t="n">
        <v>312</v>
      </c>
      <c r="I441" s="19" t="n">
        <v>295</v>
      </c>
      <c r="J441" s="17" t="inlineStr">
        <is>
          <t>2.0L Turbo I4</t>
        </is>
      </c>
      <c r="K441" s="20" t="n">
        <v>2</v>
      </c>
      <c r="L441" s="16" t="n">
        <v>4</v>
      </c>
      <c r="M441" s="17" t="inlineStr">
        <is>
          <t>7-Speed Dual-Clutch</t>
        </is>
      </c>
      <c r="N441" s="16" t="inlineStr">
        <is>
          <t>xDrive AWD</t>
        </is>
      </c>
      <c r="O441" s="16" t="inlineStr">
        <is>
          <t>26 (23/31)</t>
        </is>
      </c>
      <c r="P441" s="16" t="inlineStr">
        <is>
          <t>N/A</t>
        </is>
      </c>
      <c r="Q441" s="21" t="inlineStr">
        <is>
          <t>N/A</t>
        </is>
      </c>
      <c r="R441" s="16" t="n">
        <v>5</v>
      </c>
      <c r="S441" s="22" t="n">
        <v>12</v>
      </c>
      <c r="T441" s="16" t="inlineStr">
        <is>
          <t>N/A</t>
        </is>
      </c>
      <c r="U441" s="28" t="inlineStr">
        <is>
          <t>8.0/10</t>
        </is>
      </c>
      <c r="V441" s="24" t="inlineStr">
        <is>
          <t xml:space="preserve"> • Sharper handling dynamics than taller SUVs
 • Superior highway fuel economy
 • Easy maneuvering in urban spaces</t>
        </is>
      </c>
      <c r="W441" s="25" t="inlineStr">
        <is>
          <t xml:space="preserve"> • Less cargo flexibility than crossovers
 • Lower seating hip point for ingress
 • Fewer AWD options</t>
        </is>
      </c>
      <c r="X441" s="26" t="inlineStr">
        <is>
          <t>A well-proportioned subcompact sport sedan offering superior driving manners and efficiency over conventional crossovers.</t>
        </is>
      </c>
      <c r="Y441" s="27" t="inlineStr">
        <is>
          <t>https://hips.hearstapps.com/hmg-prod/images/2026-bmw-2-series-gran-coupe.jpg</t>
        </is>
      </c>
      <c r="Z441" s="27" t="inlineStr">
        <is>
          <t>https://www.caranddriver.com/bmw/2-series-gran-coupe</t>
        </is>
      </c>
      <c r="AA441" s="17" t="inlineStr">
        <is>
          <t>Car and Driver Buyer's Guide</t>
        </is>
      </c>
    </row>
    <row r="442" ht="48" customHeight="1">
      <c r="A442" s="4" t="n">
        <v>2026</v>
      </c>
      <c r="B442" s="5" t="inlineStr">
        <is>
          <t>BMW</t>
        </is>
      </c>
      <c r="C442" s="5" t="inlineStr">
        <is>
          <t>4-Series</t>
        </is>
      </c>
      <c r="D442" s="5" t="inlineStr">
        <is>
          <t>430i Convertible</t>
        </is>
      </c>
      <c r="E442" s="5" t="inlineStr">
        <is>
          <t>Luxury Convertible</t>
        </is>
      </c>
      <c r="F442" s="5" t="inlineStr">
        <is>
          <t>Mild Hybrid</t>
        </is>
      </c>
      <c r="G442" s="6" t="n">
        <v>59000</v>
      </c>
      <c r="H442" s="7" t="n">
        <v>255</v>
      </c>
      <c r="I442" s="7" t="n">
        <v>295</v>
      </c>
      <c r="J442" s="5" t="inlineStr">
        <is>
          <t>2.0L Turbo I4 48V</t>
        </is>
      </c>
      <c r="K442" s="8" t="n">
        <v>2</v>
      </c>
      <c r="L442" s="4" t="n">
        <v>4</v>
      </c>
      <c r="M442" s="5" t="inlineStr">
        <is>
          <t>8-Speed Sport Auto</t>
        </is>
      </c>
      <c r="N442" s="4" t="inlineStr">
        <is>
          <t>RWD</t>
        </is>
      </c>
      <c r="O442" s="4" t="inlineStr">
        <is>
          <t>28 (25/34)</t>
        </is>
      </c>
      <c r="P442" s="4" t="inlineStr">
        <is>
          <t>N/A</t>
        </is>
      </c>
      <c r="Q442" s="9" t="inlineStr">
        <is>
          <t>N/A</t>
        </is>
      </c>
      <c r="R442" s="4" t="n">
        <v>4</v>
      </c>
      <c r="S442" s="10" t="n">
        <v>9</v>
      </c>
      <c r="T442" s="4" t="inlineStr">
        <is>
          <t>N/A</t>
        </is>
      </c>
      <c r="U442" s="11" t="inlineStr">
        <is>
          <t>8.5/10</t>
        </is>
      </c>
      <c r="V442" s="12" t="inlineStr">
        <is>
          <t xml:space="preserve"> • Superb real-world fuel economy
 • Smooth electric-gas power handover
 • No range anxiety on long trips</t>
        </is>
      </c>
      <c r="W442" s="13" t="inlineStr">
        <is>
          <t xml:space="preserve"> • Added curb weight from battery packs
 • Slightly compromised cargo space
 • eCVT engine flare during passing</t>
        </is>
      </c>
      <c r="X442" s="14" t="inlineStr">
        <is>
          <t>A finely engineered mild hybrid luxury convertible striking the optimal balance between high efficiency and long-distance practicality.</t>
        </is>
      </c>
      <c r="Y442" s="15" t="inlineStr">
        <is>
          <t>https://hips.hearstapps.com/hmg-prod/images/2026-bmw-4-series.jpg</t>
        </is>
      </c>
      <c r="Z442" s="15" t="inlineStr">
        <is>
          <t>https://www.caranddriver.com/bmw/4-series</t>
        </is>
      </c>
      <c r="AA442" s="5" t="inlineStr">
        <is>
          <t>Car and Driver Buyer's Guide</t>
        </is>
      </c>
    </row>
    <row r="443" ht="48" customHeight="1">
      <c r="A443" s="16" t="n">
        <v>2026</v>
      </c>
      <c r="B443" s="17" t="inlineStr">
        <is>
          <t>BMW</t>
        </is>
      </c>
      <c r="C443" s="17" t="inlineStr">
        <is>
          <t>5-Series</t>
        </is>
      </c>
      <c r="D443" s="17" t="inlineStr">
        <is>
          <t>530i xDrive</t>
        </is>
      </c>
      <c r="E443" s="17" t="inlineStr">
        <is>
          <t>Executive Luxury Sedan</t>
        </is>
      </c>
      <c r="F443" s="17" t="inlineStr">
        <is>
          <t>Mild Hybrid</t>
        </is>
      </c>
      <c r="G443" s="18" t="n">
        <v>61000</v>
      </c>
      <c r="H443" s="19" t="n">
        <v>255</v>
      </c>
      <c r="I443" s="19" t="n">
        <v>295</v>
      </c>
      <c r="J443" s="17" t="inlineStr">
        <is>
          <t>2.0L Turbo I4 48V</t>
        </is>
      </c>
      <c r="K443" s="20" t="n">
        <v>2</v>
      </c>
      <c r="L443" s="16" t="n">
        <v>4</v>
      </c>
      <c r="M443" s="17" t="inlineStr">
        <is>
          <t>8-Speed Steptronic</t>
        </is>
      </c>
      <c r="N443" s="16" t="inlineStr">
        <is>
          <t>xDrive AWD</t>
        </is>
      </c>
      <c r="O443" s="16" t="inlineStr">
        <is>
          <t>30 (27/35)</t>
        </is>
      </c>
      <c r="P443" s="16" t="inlineStr">
        <is>
          <t>N/A</t>
        </is>
      </c>
      <c r="Q443" s="21" t="inlineStr">
        <is>
          <t>N/A</t>
        </is>
      </c>
      <c r="R443" s="16" t="n">
        <v>5</v>
      </c>
      <c r="S443" s="22" t="n">
        <v>18.4</v>
      </c>
      <c r="T443" s="16" t="inlineStr">
        <is>
          <t>N/A</t>
        </is>
      </c>
      <c r="U443" s="28" t="inlineStr">
        <is>
          <t>8.5/10</t>
        </is>
      </c>
      <c r="V443" s="24" t="inlineStr">
        <is>
          <t xml:space="preserve"> • Superb real-world fuel economy
 • Smooth electric-gas power handover
 • No range anxiety on long trips</t>
        </is>
      </c>
      <c r="W443" s="25" t="inlineStr">
        <is>
          <t xml:space="preserve"> • Added curb weight from battery packs
 • Slightly compromised cargo space
 • eCVT engine flare during passing</t>
        </is>
      </c>
      <c r="X443" s="26" t="inlineStr">
        <is>
          <t>A finely engineered mild hybrid executive luxury sedan striking the optimal balance between high efficiency and long-distance practicality.</t>
        </is>
      </c>
      <c r="Y443" s="27" t="inlineStr">
        <is>
          <t>https://hips.hearstapps.com/hmg-prod/images/2026-bmw-5-series.jpg</t>
        </is>
      </c>
      <c r="Z443" s="27" t="inlineStr">
        <is>
          <t>https://www.caranddriver.com/bmw/5-series</t>
        </is>
      </c>
      <c r="AA443" s="17" t="inlineStr">
        <is>
          <t>Car and Driver Buyer's Guide</t>
        </is>
      </c>
    </row>
    <row r="444" ht="48" customHeight="1">
      <c r="A444" s="4" t="n">
        <v>2026</v>
      </c>
      <c r="B444" s="5" t="inlineStr">
        <is>
          <t>BMW</t>
        </is>
      </c>
      <c r="C444" s="5" t="inlineStr">
        <is>
          <t>X4</t>
        </is>
      </c>
      <c r="D444" s="5" t="inlineStr">
        <is>
          <t>M40i xDrive</t>
        </is>
      </c>
      <c r="E444" s="5" t="inlineStr">
        <is>
          <t>Compact Luxury SUV Coupe</t>
        </is>
      </c>
      <c r="F444" s="5" t="inlineStr">
        <is>
          <t>Mild Hybrid</t>
        </is>
      </c>
      <c r="G444" s="6" t="n">
        <v>67000</v>
      </c>
      <c r="H444" s="7" t="n">
        <v>382</v>
      </c>
      <c r="I444" s="7" t="n">
        <v>369</v>
      </c>
      <c r="J444" s="5" t="inlineStr">
        <is>
          <t>3.0L Turbo I6 (B58)</t>
        </is>
      </c>
      <c r="K444" s="8" t="n">
        <v>3</v>
      </c>
      <c r="L444" s="4" t="n">
        <v>6</v>
      </c>
      <c r="M444" s="5" t="inlineStr">
        <is>
          <t>8-Speed Sport Auto</t>
        </is>
      </c>
      <c r="N444" s="4" t="inlineStr">
        <is>
          <t>xDrive AWD</t>
        </is>
      </c>
      <c r="O444" s="4" t="inlineStr">
        <is>
          <t>23 (21/26)</t>
        </is>
      </c>
      <c r="P444" s="4" t="inlineStr">
        <is>
          <t>N/A</t>
        </is>
      </c>
      <c r="Q444" s="9" t="inlineStr">
        <is>
          <t>N/A</t>
        </is>
      </c>
      <c r="R444" s="4" t="n">
        <v>5</v>
      </c>
      <c r="S444" s="10" t="n">
        <v>18.5</v>
      </c>
      <c r="T444" s="7" t="n">
        <v>4400</v>
      </c>
      <c r="U444" s="11" t="inlineStr">
        <is>
          <t>8.5/10</t>
        </is>
      </c>
      <c r="V444" s="12" t="inlineStr">
        <is>
          <t xml:space="preserve"> • Superb real-world fuel economy
 • Smooth electric-gas power handover
 • No range anxiety on long trips</t>
        </is>
      </c>
      <c r="W444" s="13" t="inlineStr">
        <is>
          <t xml:space="preserve"> • Added curb weight from battery packs
 • Slightly compromised cargo space
 • eCVT engine flare during passing</t>
        </is>
      </c>
      <c r="X444" s="14" t="inlineStr">
        <is>
          <t>A finely engineered mild hybrid compact luxury suv coupe striking the optimal balance between high efficiency and long-distance practicality.</t>
        </is>
      </c>
      <c r="Y444" s="15" t="inlineStr">
        <is>
          <t>https://hips.hearstapps.com/hmg-prod/images/2026-bmw-x4.jpg</t>
        </is>
      </c>
      <c r="Z444" s="15" t="inlineStr">
        <is>
          <t>https://www.caranddriver.com/bmw/x4</t>
        </is>
      </c>
      <c r="AA444" s="5" t="inlineStr">
        <is>
          <t>Car and Driver Buyer's Guide</t>
        </is>
      </c>
    </row>
    <row r="445" ht="48" customHeight="1">
      <c r="A445" s="16" t="n">
        <v>2026</v>
      </c>
      <c r="B445" s="17" t="inlineStr">
        <is>
          <t>BMW</t>
        </is>
      </c>
      <c r="C445" s="17" t="inlineStr">
        <is>
          <t>X6</t>
        </is>
      </c>
      <c r="D445" s="17" t="inlineStr">
        <is>
          <t>M60i xDrive</t>
        </is>
      </c>
      <c r="E445" s="17" t="inlineStr">
        <is>
          <t>Mid-Size Luxury SUV Coupe</t>
        </is>
      </c>
      <c r="F445" s="17" t="inlineStr">
        <is>
          <t>Mild Hybrid</t>
        </is>
      </c>
      <c r="G445" s="18" t="n">
        <v>95000</v>
      </c>
      <c r="H445" s="19" t="n">
        <v>523</v>
      </c>
      <c r="I445" s="19" t="n">
        <v>553</v>
      </c>
      <c r="J445" s="17" t="inlineStr">
        <is>
          <t>4.4L Twin-Turbo V8</t>
        </is>
      </c>
      <c r="K445" s="20" t="n">
        <v>4.4</v>
      </c>
      <c r="L445" s="16" t="n">
        <v>8</v>
      </c>
      <c r="M445" s="17" t="inlineStr">
        <is>
          <t>8-Speed Sport Auto</t>
        </is>
      </c>
      <c r="N445" s="16" t="inlineStr">
        <is>
          <t>xDrive AWD</t>
        </is>
      </c>
      <c r="O445" s="16" t="inlineStr">
        <is>
          <t>19 (17/22)</t>
        </is>
      </c>
      <c r="P445" s="16" t="inlineStr">
        <is>
          <t>N/A</t>
        </is>
      </c>
      <c r="Q445" s="21" t="inlineStr">
        <is>
          <t>N/A</t>
        </is>
      </c>
      <c r="R445" s="16" t="n">
        <v>5</v>
      </c>
      <c r="S445" s="22" t="n">
        <v>27.4</v>
      </c>
      <c r="T445" s="19" t="n">
        <v>7200</v>
      </c>
      <c r="U445" s="28" t="inlineStr">
        <is>
          <t>8.5/10</t>
        </is>
      </c>
      <c r="V445" s="24" t="inlineStr">
        <is>
          <t xml:space="preserve"> • Superb real-world fuel economy
 • Smooth electric-gas power handover
 • No range anxiety on long trips</t>
        </is>
      </c>
      <c r="W445" s="25" t="inlineStr">
        <is>
          <t xml:space="preserve"> • Added curb weight from battery packs
 • Slightly compromised cargo space
 • eCVT engine flare during passing</t>
        </is>
      </c>
      <c r="X445" s="26" t="inlineStr">
        <is>
          <t>A finely engineered mild hybrid mid-size luxury suv coupe striking the optimal balance between high efficiency and long-distance practicality.</t>
        </is>
      </c>
      <c r="Y445" s="27" t="inlineStr">
        <is>
          <t>https://hips.hearstapps.com/hmg-prod/images/2026-bmw-x6.jpg</t>
        </is>
      </c>
      <c r="Z445" s="27" t="inlineStr">
        <is>
          <t>https://www.caranddriver.com/bmw/x6</t>
        </is>
      </c>
      <c r="AA445" s="17" t="inlineStr">
        <is>
          <t>Car and Driver Buyer's Guide</t>
        </is>
      </c>
    </row>
    <row r="446" ht="48" customHeight="1">
      <c r="A446" s="4" t="n">
        <v>2026</v>
      </c>
      <c r="B446" s="5" t="inlineStr">
        <is>
          <t>Mercedes-Benz</t>
        </is>
      </c>
      <c r="C446" s="5" t="inlineStr">
        <is>
          <t>CLA-Class</t>
        </is>
      </c>
      <c r="D446" s="5" t="inlineStr">
        <is>
          <t>CLA250 4MATIC</t>
        </is>
      </c>
      <c r="E446" s="5" t="inlineStr">
        <is>
          <t>Subcompact Luxury Sedan</t>
        </is>
      </c>
      <c r="F446" s="5" t="inlineStr">
        <is>
          <t>Mild Hybrid</t>
        </is>
      </c>
      <c r="G446" s="6" t="n">
        <v>46000</v>
      </c>
      <c r="H446" s="7" t="n">
        <v>221</v>
      </c>
      <c r="I446" s="7" t="n">
        <v>258</v>
      </c>
      <c r="J446" s="5" t="inlineStr">
        <is>
          <t>2.0L Turbo I4 48V</t>
        </is>
      </c>
      <c r="K446" s="8" t="n">
        <v>2</v>
      </c>
      <c r="L446" s="4" t="n">
        <v>4</v>
      </c>
      <c r="M446" s="5" t="inlineStr">
        <is>
          <t>8-Speed Dual-Clutch</t>
        </is>
      </c>
      <c r="N446" s="4" t="inlineStr">
        <is>
          <t>4MATIC AWD</t>
        </is>
      </c>
      <c r="O446" s="4" t="inlineStr">
        <is>
          <t>28 (25/35)</t>
        </is>
      </c>
      <c r="P446" s="4" t="inlineStr">
        <is>
          <t>N/A</t>
        </is>
      </c>
      <c r="Q446" s="9" t="inlineStr">
        <is>
          <t>N/A</t>
        </is>
      </c>
      <c r="R446" s="4" t="n">
        <v>5</v>
      </c>
      <c r="S446" s="10" t="n">
        <v>11.6</v>
      </c>
      <c r="T446" s="4" t="inlineStr">
        <is>
          <t>N/A</t>
        </is>
      </c>
      <c r="U446" s="11" t="inlineStr">
        <is>
          <t>8.5/10</t>
        </is>
      </c>
      <c r="V446" s="12" t="inlineStr">
        <is>
          <t xml:space="preserve"> • Superb real-world fuel economy
 • Smooth electric-gas power handover
 • No range anxiety on long trips</t>
        </is>
      </c>
      <c r="W446" s="13" t="inlineStr">
        <is>
          <t xml:space="preserve"> • Added curb weight from battery packs
 • Slightly compromised cargo space
 • eCVT engine flare during passing</t>
        </is>
      </c>
      <c r="X446" s="14" t="inlineStr">
        <is>
          <t>A finely engineered mild hybrid subcompact luxury sedan striking the optimal balance between high efficiency and long-distance practicality.</t>
        </is>
      </c>
      <c r="Y446" s="15" t="inlineStr">
        <is>
          <t>https://hips.hearstapps.com/hmg-prod/images/2026-mercedes-benz-cla-class.jpg</t>
        </is>
      </c>
      <c r="Z446" s="15" t="inlineStr">
        <is>
          <t>https://www.caranddriver.com/mercedes-benz/cla-class</t>
        </is>
      </c>
      <c r="AA446" s="5" t="inlineStr">
        <is>
          <t>Car and Driver Buyer's Guide</t>
        </is>
      </c>
    </row>
    <row r="447" ht="48" customHeight="1">
      <c r="A447" s="16" t="n">
        <v>2026</v>
      </c>
      <c r="B447" s="17" t="inlineStr">
        <is>
          <t>Mercedes-Benz</t>
        </is>
      </c>
      <c r="C447" s="17" t="inlineStr">
        <is>
          <t>EQB</t>
        </is>
      </c>
      <c r="D447" s="17" t="inlineStr">
        <is>
          <t>EQB300 4MATIC</t>
        </is>
      </c>
      <c r="E447" s="17" t="inlineStr">
        <is>
          <t>Compact Luxury EV Crossover</t>
        </is>
      </c>
      <c r="F447" s="17" t="inlineStr">
        <is>
          <t>Electric</t>
        </is>
      </c>
      <c r="G447" s="18" t="n">
        <v>58000</v>
      </c>
      <c r="H447" s="19" t="n">
        <v>225</v>
      </c>
      <c r="I447" s="19" t="n">
        <v>288</v>
      </c>
      <c r="J447" s="17" t="inlineStr">
        <is>
          <t>Dual Electric Motors</t>
        </is>
      </c>
      <c r="K447" s="16" t="inlineStr">
        <is>
          <t>N/A</t>
        </is>
      </c>
      <c r="L447" s="16" t="n">
        <v>0</v>
      </c>
      <c r="M447" s="17" t="inlineStr">
        <is>
          <t>1-Speed Direct</t>
        </is>
      </c>
      <c r="N447" s="16" t="inlineStr">
        <is>
          <t>4MATIC AWD</t>
        </is>
      </c>
      <c r="O447" s="16" t="inlineStr">
        <is>
          <t>94 MPGe</t>
        </is>
      </c>
      <c r="P447" s="16" t="inlineStr">
        <is>
          <t>245</t>
        </is>
      </c>
      <c r="Q447" s="22" t="n">
        <v>70.5</v>
      </c>
      <c r="R447" s="16" t="n">
        <v>7</v>
      </c>
      <c r="S447" s="22" t="n">
        <v>10.7</v>
      </c>
      <c r="T447" s="16" t="inlineStr">
        <is>
          <t>N/A</t>
        </is>
      </c>
      <c r="U447" s="28" t="inlineStr">
        <is>
          <t>8.0/10</t>
        </is>
      </c>
      <c r="V447" s="24" t="inlineStr">
        <is>
          <t xml:space="preserve"> • Silent, instantaneous acceleration
 • Low center of gravity enhances stability
 • Zero tailpipe emissions</t>
        </is>
      </c>
      <c r="W447" s="25" t="inlineStr">
        <is>
          <t xml:space="preserve"> • Highway range drops at sustained speed
 • Public charging network variability
 • Pricier initial purchase cost</t>
        </is>
      </c>
      <c r="X447" s="26" t="inlineStr">
        <is>
          <t>A compelling electric entry in the compact luxury ev crossover segment offering smooth power delivery and advanced tech.</t>
        </is>
      </c>
      <c r="Y447" s="27" t="inlineStr">
        <is>
          <t>https://hips.hearstapps.com/hmg-prod/images/2026-mercedes-benz-eqb.jpg</t>
        </is>
      </c>
      <c r="Z447" s="27" t="inlineStr">
        <is>
          <t>https://www.caranddriver.com/mercedes-benz/eqb</t>
        </is>
      </c>
      <c r="AA447" s="17" t="inlineStr">
        <is>
          <t>Car and Driver Buyer's Guide</t>
        </is>
      </c>
    </row>
    <row r="448" ht="48" customHeight="1">
      <c r="A448" s="4" t="n">
        <v>2026</v>
      </c>
      <c r="B448" s="5" t="inlineStr">
        <is>
          <t>Mercedes-Benz</t>
        </is>
      </c>
      <c r="C448" s="5" t="inlineStr">
        <is>
          <t>EQE SUV</t>
        </is>
      </c>
      <c r="D448" s="5" t="inlineStr">
        <is>
          <t>EQE350+ SUV</t>
        </is>
      </c>
      <c r="E448" s="5" t="inlineStr">
        <is>
          <t>Mid-Size Luxury EV SUV</t>
        </is>
      </c>
      <c r="F448" s="5" t="inlineStr">
        <is>
          <t>Electric</t>
        </is>
      </c>
      <c r="G448" s="6" t="n">
        <v>79000</v>
      </c>
      <c r="H448" s="7" t="n">
        <v>288</v>
      </c>
      <c r="I448" s="7" t="n">
        <v>417</v>
      </c>
      <c r="J448" s="5" t="inlineStr">
        <is>
          <t>Rear Electric Motor</t>
        </is>
      </c>
      <c r="K448" s="4" t="inlineStr">
        <is>
          <t>N/A</t>
        </is>
      </c>
      <c r="L448" s="4" t="n">
        <v>0</v>
      </c>
      <c r="M448" s="5" t="inlineStr">
        <is>
          <t>1-Speed Direct</t>
        </is>
      </c>
      <c r="N448" s="4" t="inlineStr">
        <is>
          <t>RWD</t>
        </is>
      </c>
      <c r="O448" s="4" t="inlineStr">
        <is>
          <t>82 MPGe</t>
        </is>
      </c>
      <c r="P448" s="4" t="inlineStr">
        <is>
          <t>279</t>
        </is>
      </c>
      <c r="Q448" s="10" t="n">
        <v>90.59999999999999</v>
      </c>
      <c r="R448" s="4" t="n">
        <v>5</v>
      </c>
      <c r="S448" s="10" t="n">
        <v>14</v>
      </c>
      <c r="T448" s="4" t="inlineStr">
        <is>
          <t>N/A</t>
        </is>
      </c>
      <c r="U448" s="11" t="inlineStr">
        <is>
          <t>8.5/10</t>
        </is>
      </c>
      <c r="V448" s="12" t="inlineStr">
        <is>
          <t xml:space="preserve"> • Silent, instantaneous acceleration
 • Low center of gravity enhances stability
 • Zero tailpipe emissions</t>
        </is>
      </c>
      <c r="W448" s="13" t="inlineStr">
        <is>
          <t xml:space="preserve"> • Highway range drops at sustained speed
 • Public charging network variability
 • Pricier initial purchase cost</t>
        </is>
      </c>
      <c r="X448" s="14" t="inlineStr">
        <is>
          <t>A compelling electric entry in the mid-size luxury ev suv segment offering smooth power delivery and advanced tech.</t>
        </is>
      </c>
      <c r="Y448" s="15" t="inlineStr">
        <is>
          <t>https://hips.hearstapps.com/hmg-prod/images/2026-mercedes-benz-eqe-suv.jpg</t>
        </is>
      </c>
      <c r="Z448" s="15" t="inlineStr">
        <is>
          <t>https://www.caranddriver.com/mercedes-benz/eqe-suv</t>
        </is>
      </c>
      <c r="AA448" s="5" t="inlineStr">
        <is>
          <t>Car and Driver Buyer's Guide</t>
        </is>
      </c>
    </row>
    <row r="449" ht="48" customHeight="1">
      <c r="A449" s="16" t="n">
        <v>2026</v>
      </c>
      <c r="B449" s="17" t="inlineStr">
        <is>
          <t>Mercedes-Benz</t>
        </is>
      </c>
      <c r="C449" s="17" t="inlineStr">
        <is>
          <t>EQS SUV</t>
        </is>
      </c>
      <c r="D449" s="17" t="inlineStr">
        <is>
          <t>EQS450 4MATIC SUV</t>
        </is>
      </c>
      <c r="E449" s="17" t="inlineStr">
        <is>
          <t>3-Row Luxury EV Flagship SUV</t>
        </is>
      </c>
      <c r="F449" s="17" t="inlineStr">
        <is>
          <t>Electric</t>
        </is>
      </c>
      <c r="G449" s="18" t="n">
        <v>108000</v>
      </c>
      <c r="H449" s="19" t="n">
        <v>355</v>
      </c>
      <c r="I449" s="19" t="n">
        <v>590</v>
      </c>
      <c r="J449" s="17" t="inlineStr">
        <is>
          <t>Dual Electric Motors</t>
        </is>
      </c>
      <c r="K449" s="16" t="inlineStr">
        <is>
          <t>N/A</t>
        </is>
      </c>
      <c r="L449" s="16" t="n">
        <v>0</v>
      </c>
      <c r="M449" s="17" t="inlineStr">
        <is>
          <t>1-Speed Direct</t>
        </is>
      </c>
      <c r="N449" s="16" t="inlineStr">
        <is>
          <t>4MATIC AWD</t>
        </is>
      </c>
      <c r="O449" s="16" t="inlineStr">
        <is>
          <t>79 MPGe</t>
        </is>
      </c>
      <c r="P449" s="16" t="inlineStr">
        <is>
          <t>305</t>
        </is>
      </c>
      <c r="Q449" s="22" t="n">
        <v>108.4</v>
      </c>
      <c r="R449" s="16" t="n">
        <v>7</v>
      </c>
      <c r="S449" s="22" t="n">
        <v>23</v>
      </c>
      <c r="T449" s="16" t="inlineStr">
        <is>
          <t>N/A</t>
        </is>
      </c>
      <c r="U449" s="28" t="inlineStr">
        <is>
          <t>8.5/10</t>
        </is>
      </c>
      <c r="V449" s="24" t="inlineStr">
        <is>
          <t xml:space="preserve"> • Silent, instantaneous acceleration
 • Low center of gravity enhances stability
 • Zero tailpipe emissions</t>
        </is>
      </c>
      <c r="W449" s="25" t="inlineStr">
        <is>
          <t xml:space="preserve"> • Highway range drops at sustained speed
 • Public charging network variability
 • Pricier initial purchase cost</t>
        </is>
      </c>
      <c r="X449" s="26" t="inlineStr">
        <is>
          <t>A compelling electric entry in the 3-row luxury ev flagship suv segment offering smooth power delivery and advanced tech.</t>
        </is>
      </c>
      <c r="Y449" s="27" t="inlineStr">
        <is>
          <t>https://hips.hearstapps.com/hmg-prod/images/2026-mercedes-benz-eqs-suv.jpg</t>
        </is>
      </c>
      <c r="Z449" s="27" t="inlineStr">
        <is>
          <t>https://www.caranddriver.com/mercedes-benz/eqs-suv</t>
        </is>
      </c>
      <c r="AA449" s="17" t="inlineStr">
        <is>
          <t>Car and Driver Buyer's Guide</t>
        </is>
      </c>
    </row>
    <row r="450" ht="48" customHeight="1">
      <c r="A450" s="4" t="n">
        <v>2026</v>
      </c>
      <c r="B450" s="5" t="inlineStr">
        <is>
          <t>Audi</t>
        </is>
      </c>
      <c r="C450" s="5" t="inlineStr">
        <is>
          <t>A4 allroad</t>
        </is>
      </c>
      <c r="D450" s="5" t="inlineStr">
        <is>
          <t>quattro Premium Plus</t>
        </is>
      </c>
      <c r="E450" s="5" t="inlineStr">
        <is>
          <t>Luxury Rugged Wagon</t>
        </is>
      </c>
      <c r="F450" s="5" t="inlineStr">
        <is>
          <t>Mild Hybrid</t>
        </is>
      </c>
      <c r="G450" s="6" t="n">
        <v>51000</v>
      </c>
      <c r="H450" s="7" t="n">
        <v>261</v>
      </c>
      <c r="I450" s="7" t="n">
        <v>273</v>
      </c>
      <c r="J450" s="5" t="inlineStr">
        <is>
          <t>2.0L Turbo I4 48V</t>
        </is>
      </c>
      <c r="K450" s="8" t="n">
        <v>2</v>
      </c>
      <c r="L450" s="4" t="n">
        <v>4</v>
      </c>
      <c r="M450" s="5" t="inlineStr">
        <is>
          <t>7-Speed S tronic</t>
        </is>
      </c>
      <c r="N450" s="4" t="inlineStr">
        <is>
          <t>quattro AWD</t>
        </is>
      </c>
      <c r="O450" s="4" t="inlineStr">
        <is>
          <t>26 (23/30)</t>
        </is>
      </c>
      <c r="P450" s="4" t="inlineStr">
        <is>
          <t>N/A</t>
        </is>
      </c>
      <c r="Q450" s="9" t="inlineStr">
        <is>
          <t>N/A</t>
        </is>
      </c>
      <c r="R450" s="4" t="n">
        <v>5</v>
      </c>
      <c r="S450" s="10" t="n">
        <v>24.2</v>
      </c>
      <c r="T450" s="4" t="inlineStr">
        <is>
          <t>N/A</t>
        </is>
      </c>
      <c r="U450" s="11" t="inlineStr">
        <is>
          <t>9.0/10</t>
        </is>
      </c>
      <c r="V450" s="12" t="inlineStr">
        <is>
          <t xml:space="preserve"> • Superb real-world fuel economy
 • Smooth electric-gas power handover
 • No range anxiety on long trips</t>
        </is>
      </c>
      <c r="W450" s="13" t="inlineStr">
        <is>
          <t xml:space="preserve"> • Added curb weight from battery packs
 • Slightly compromised cargo space
 • eCVT engine flare during passing</t>
        </is>
      </c>
      <c r="X450" s="14" t="inlineStr">
        <is>
          <t>A finely engineered mild hybrid luxury rugged wagon striking the optimal balance between high efficiency and long-distance practicality.</t>
        </is>
      </c>
      <c r="Y450" s="15" t="inlineStr">
        <is>
          <t>https://hips.hearstapps.com/hmg-prod/images/2026-audi-a4-allroad.jpg</t>
        </is>
      </c>
      <c r="Z450" s="15" t="inlineStr">
        <is>
          <t>https://www.caranddriver.com/audi/a4-allroad</t>
        </is>
      </c>
      <c r="AA450" s="5" t="inlineStr">
        <is>
          <t>Car and Driver Editors' Choice</t>
        </is>
      </c>
    </row>
    <row r="451" ht="48" customHeight="1">
      <c r="A451" s="16" t="n">
        <v>2026</v>
      </c>
      <c r="B451" s="17" t="inlineStr">
        <is>
          <t>Audi</t>
        </is>
      </c>
      <c r="C451" s="17" t="inlineStr">
        <is>
          <t>A6 allroad</t>
        </is>
      </c>
      <c r="D451" s="17" t="inlineStr">
        <is>
          <t>55 TFSI Prestige</t>
        </is>
      </c>
      <c r="E451" s="17" t="inlineStr">
        <is>
          <t>Full-Size Luxury Rugged Wagon</t>
        </is>
      </c>
      <c r="F451" s="17" t="inlineStr">
        <is>
          <t>Mild Hybrid</t>
        </is>
      </c>
      <c r="G451" s="18" t="n">
        <v>74000</v>
      </c>
      <c r="H451" s="19" t="n">
        <v>335</v>
      </c>
      <c r="I451" s="19" t="n">
        <v>369</v>
      </c>
      <c r="J451" s="17" t="inlineStr">
        <is>
          <t>3.0L Turbo V6 48V</t>
        </is>
      </c>
      <c r="K451" s="20" t="n">
        <v>3</v>
      </c>
      <c r="L451" s="16" t="n">
        <v>6</v>
      </c>
      <c r="M451" s="17" t="inlineStr">
        <is>
          <t>7-Speed S tronic</t>
        </is>
      </c>
      <c r="N451" s="16" t="inlineStr">
        <is>
          <t>quattro AWD</t>
        </is>
      </c>
      <c r="O451" s="16" t="inlineStr">
        <is>
          <t>23 (20/26)</t>
        </is>
      </c>
      <c r="P451" s="16" t="inlineStr">
        <is>
          <t>N/A</t>
        </is>
      </c>
      <c r="Q451" s="21" t="inlineStr">
        <is>
          <t>N/A</t>
        </is>
      </c>
      <c r="R451" s="16" t="n">
        <v>5</v>
      </c>
      <c r="S451" s="22" t="n">
        <v>30</v>
      </c>
      <c r="T451" s="16" t="inlineStr">
        <is>
          <t>N/A</t>
        </is>
      </c>
      <c r="U451" s="23" t="inlineStr">
        <is>
          <t>9.5/10</t>
        </is>
      </c>
      <c r="V451" s="24" t="inlineStr">
        <is>
          <t xml:space="preserve"> • Superb real-world fuel economy
 • Smooth electric-gas power handover
 • No range anxiety on long trips</t>
        </is>
      </c>
      <c r="W451" s="25" t="inlineStr">
        <is>
          <t xml:space="preserve"> • Added curb weight from battery packs
 • Slightly compromised cargo space
 • eCVT engine flare during passing</t>
        </is>
      </c>
      <c r="X451" s="26" t="inlineStr">
        <is>
          <t>A finely engineered mild hybrid full-size luxury rugged wagon striking the optimal balance between high efficiency and long-distance practicality.</t>
        </is>
      </c>
      <c r="Y451" s="27" t="inlineStr">
        <is>
          <t>https://hips.hearstapps.com/hmg-prod/images/2026-audi-a6-allroad.jpg</t>
        </is>
      </c>
      <c r="Z451" s="27" t="inlineStr">
        <is>
          <t>https://www.caranddriver.com/audi/a6-allroad</t>
        </is>
      </c>
      <c r="AA451" s="17" t="inlineStr">
        <is>
          <t>Car and Driver 10Best</t>
        </is>
      </c>
    </row>
    <row r="452" ht="48" customHeight="1">
      <c r="A452" s="4" t="n">
        <v>2026</v>
      </c>
      <c r="B452" s="5" t="inlineStr">
        <is>
          <t>Audi</t>
        </is>
      </c>
      <c r="C452" s="5" t="inlineStr">
        <is>
          <t>Q8 e-tron</t>
        </is>
      </c>
      <c r="D452" s="5" t="inlineStr">
        <is>
          <t>Prestige quattro</t>
        </is>
      </c>
      <c r="E452" s="5" t="inlineStr">
        <is>
          <t>Mid-Size Luxury EV SUV</t>
        </is>
      </c>
      <c r="F452" s="5" t="inlineStr">
        <is>
          <t>Electric</t>
        </is>
      </c>
      <c r="G452" s="6" t="n">
        <v>80000</v>
      </c>
      <c r="H452" s="7" t="n">
        <v>402</v>
      </c>
      <c r="I452" s="7" t="n">
        <v>490</v>
      </c>
      <c r="J452" s="5" t="inlineStr">
        <is>
          <t>Dual Electric Motors (Boost Mode)</t>
        </is>
      </c>
      <c r="K452" s="4" t="inlineStr">
        <is>
          <t>N/A</t>
        </is>
      </c>
      <c r="L452" s="4" t="n">
        <v>0</v>
      </c>
      <c r="M452" s="5" t="inlineStr">
        <is>
          <t>1-Speed Direct</t>
        </is>
      </c>
      <c r="N452" s="4" t="inlineStr">
        <is>
          <t>quattro AWD</t>
        </is>
      </c>
      <c r="O452" s="4" t="inlineStr">
        <is>
          <t>81 MPGe</t>
        </is>
      </c>
      <c r="P452" s="4" t="inlineStr">
        <is>
          <t>285</t>
        </is>
      </c>
      <c r="Q452" s="10" t="n">
        <v>106</v>
      </c>
      <c r="R452" s="4" t="n">
        <v>5</v>
      </c>
      <c r="S452" s="10" t="n">
        <v>28.5</v>
      </c>
      <c r="T452" s="7" t="n">
        <v>4000</v>
      </c>
      <c r="U452" s="11" t="inlineStr">
        <is>
          <t>8.5/10</t>
        </is>
      </c>
      <c r="V452" s="12" t="inlineStr">
        <is>
          <t xml:space="preserve"> • Silent, instantaneous acceleration
 • Low center of gravity enhances stability
 • Zero tailpipe emissions</t>
        </is>
      </c>
      <c r="W452" s="13" t="inlineStr">
        <is>
          <t xml:space="preserve"> • Highway range drops at sustained speed
 • Public charging network variability
 • Pricier initial purchase cost</t>
        </is>
      </c>
      <c r="X452" s="14" t="inlineStr">
        <is>
          <t>A compelling electric entry in the mid-size luxury ev suv segment offering smooth power delivery and advanced tech.</t>
        </is>
      </c>
      <c r="Y452" s="15" t="inlineStr">
        <is>
          <t>https://hips.hearstapps.com/hmg-prod/images/2026-audi-q8-e-tron.jpg</t>
        </is>
      </c>
      <c r="Z452" s="15" t="inlineStr">
        <is>
          <t>https://www.caranddriver.com/audi/q8-e-tron</t>
        </is>
      </c>
      <c r="AA452" s="5" t="inlineStr">
        <is>
          <t>Car and Driver Buyer's Guide</t>
        </is>
      </c>
    </row>
    <row r="453" ht="48" customHeight="1">
      <c r="A453" s="16" t="n">
        <v>2026</v>
      </c>
      <c r="B453" s="17" t="inlineStr">
        <is>
          <t>Audi</t>
        </is>
      </c>
      <c r="C453" s="17" t="inlineStr">
        <is>
          <t>SQ8 e-tron</t>
        </is>
      </c>
      <c r="D453" s="17" t="inlineStr">
        <is>
          <t>Prestige quattro</t>
        </is>
      </c>
      <c r="E453" s="17" t="inlineStr">
        <is>
          <t>Performance Luxury EV SUV</t>
        </is>
      </c>
      <c r="F453" s="17" t="inlineStr">
        <is>
          <t>Electric</t>
        </is>
      </c>
      <c r="G453" s="18" t="n">
        <v>92000</v>
      </c>
      <c r="H453" s="19" t="n">
        <v>496</v>
      </c>
      <c r="I453" s="19" t="n">
        <v>718</v>
      </c>
      <c r="J453" s="17" t="inlineStr">
        <is>
          <t>Tri-Motor Electric Drive (1 Front, 2 Rear)</t>
        </is>
      </c>
      <c r="K453" s="16" t="inlineStr">
        <is>
          <t>N/A</t>
        </is>
      </c>
      <c r="L453" s="16" t="n">
        <v>0</v>
      </c>
      <c r="M453" s="17" t="inlineStr">
        <is>
          <t>1-Speed Direct</t>
        </is>
      </c>
      <c r="N453" s="16" t="inlineStr">
        <is>
          <t>quattro AWD</t>
        </is>
      </c>
      <c r="O453" s="16" t="inlineStr">
        <is>
          <t>74 MPGe</t>
        </is>
      </c>
      <c r="P453" s="16" t="inlineStr">
        <is>
          <t>253</t>
        </is>
      </c>
      <c r="Q453" s="22" t="n">
        <v>106</v>
      </c>
      <c r="R453" s="16" t="n">
        <v>5</v>
      </c>
      <c r="S453" s="22" t="n">
        <v>28.5</v>
      </c>
      <c r="T453" s="19" t="n">
        <v>4000</v>
      </c>
      <c r="U453" s="28" t="inlineStr">
        <is>
          <t>8.5/10</t>
        </is>
      </c>
      <c r="V453" s="24" t="inlineStr">
        <is>
          <t xml:space="preserve"> • Silent, instantaneous acceleration
 • Low center of gravity enhances stability
 • Zero tailpipe emissions</t>
        </is>
      </c>
      <c r="W453" s="25" t="inlineStr">
        <is>
          <t xml:space="preserve"> • Highway range drops at sustained speed
 • Public charging network variability
 • Pricier initial purchase cost</t>
        </is>
      </c>
      <c r="X453" s="26" t="inlineStr">
        <is>
          <t>A compelling electric entry in the performance luxury ev suv segment offering smooth power delivery and advanced tech.</t>
        </is>
      </c>
      <c r="Y453" s="27" t="inlineStr">
        <is>
          <t>https://hips.hearstapps.com/hmg-prod/images/2026-audi-sq8-e-tron.jpg</t>
        </is>
      </c>
      <c r="Z453" s="27" t="inlineStr">
        <is>
          <t>https://www.caranddriver.com/audi/sq8-e-tron</t>
        </is>
      </c>
      <c r="AA453" s="17" t="inlineStr">
        <is>
          <t>Car and Driver Buyer's Guide</t>
        </is>
      </c>
    </row>
    <row r="454" ht="48" customHeight="1">
      <c r="A454" s="4" t="n">
        <v>2026</v>
      </c>
      <c r="B454" s="5" t="inlineStr">
        <is>
          <t>Porsche</t>
        </is>
      </c>
      <c r="C454" s="5" t="inlineStr">
        <is>
          <t>911</t>
        </is>
      </c>
      <c r="D454" s="5" t="inlineStr">
        <is>
          <t>Carrera Coupe Base</t>
        </is>
      </c>
      <c r="E454" s="5" t="inlineStr">
        <is>
          <t>Iconic Sports Car</t>
        </is>
      </c>
      <c r="F454" s="5" t="inlineStr">
        <is>
          <t>Gasoline</t>
        </is>
      </c>
      <c r="G454" s="6" t="n">
        <v>122000</v>
      </c>
      <c r="H454" s="7" t="n">
        <v>388</v>
      </c>
      <c r="I454" s="7" t="n">
        <v>331</v>
      </c>
      <c r="J454" s="5" t="inlineStr">
        <is>
          <t>3.0L Twin-Turbo Flat-6</t>
        </is>
      </c>
      <c r="K454" s="8" t="n">
        <v>3</v>
      </c>
      <c r="L454" s="4" t="n">
        <v>6</v>
      </c>
      <c r="M454" s="5" t="inlineStr">
        <is>
          <t>8-Speed PDK</t>
        </is>
      </c>
      <c r="N454" s="4" t="inlineStr">
        <is>
          <t>RWD</t>
        </is>
      </c>
      <c r="O454" s="4" t="inlineStr">
        <is>
          <t>20 (18/24)</t>
        </is>
      </c>
      <c r="P454" s="4" t="inlineStr">
        <is>
          <t>N/A</t>
        </is>
      </c>
      <c r="Q454" s="9" t="inlineStr">
        <is>
          <t>N/A</t>
        </is>
      </c>
      <c r="R454" s="4" t="n">
        <v>4</v>
      </c>
      <c r="S454" s="10" t="n">
        <v>4.6</v>
      </c>
      <c r="T454" s="4" t="inlineStr">
        <is>
          <t>N/A</t>
        </is>
      </c>
      <c r="U454" s="29" t="inlineStr">
        <is>
          <t>10/10</t>
        </is>
      </c>
      <c r="V454" s="12" t="inlineStr">
        <is>
          <t xml:space="preserve"> • Benchmark sports car ergonomics
 • Daily-driver usability and visibility
 • Exceptional resale value</t>
        </is>
      </c>
      <c r="W454" s="13" t="inlineStr">
        <is>
          <t xml:space="preserve"> • Steep base and options prices
 • Tiny rear jump seats
 • Analog gauges replaced by screens</t>
        </is>
      </c>
      <c r="X454" s="14" t="inlineStr">
        <is>
          <t>The iconic benchmark against which every other high-end sports car on the planet is judged.</t>
        </is>
      </c>
      <c r="Y454" s="15" t="inlineStr">
        <is>
          <t>https://hips.hearstapps.com/hmg-prod/images/2026-porsche-911.jpg</t>
        </is>
      </c>
      <c r="Z454" s="15" t="inlineStr">
        <is>
          <t>https://www.caranddriver.com/porsche/911</t>
        </is>
      </c>
      <c r="AA454" s="5" t="inlineStr">
        <is>
          <t>Car and Driver 10Best Winner</t>
        </is>
      </c>
    </row>
    <row r="455" ht="48" customHeight="1">
      <c r="A455" s="16" t="n">
        <v>2026</v>
      </c>
      <c r="B455" s="17" t="inlineStr">
        <is>
          <t>Porsche</t>
        </is>
      </c>
      <c r="C455" s="17" t="inlineStr">
        <is>
          <t>911</t>
        </is>
      </c>
      <c r="D455" s="17" t="inlineStr">
        <is>
          <t>Carrera Cabriolet</t>
        </is>
      </c>
      <c r="E455" s="17" t="inlineStr">
        <is>
          <t>Convertible Sports Car</t>
        </is>
      </c>
      <c r="F455" s="17" t="inlineStr">
        <is>
          <t>Gasoline</t>
        </is>
      </c>
      <c r="G455" s="18" t="n">
        <v>135000</v>
      </c>
      <c r="H455" s="19" t="n">
        <v>388</v>
      </c>
      <c r="I455" s="19" t="n">
        <v>331</v>
      </c>
      <c r="J455" s="17" t="inlineStr">
        <is>
          <t>3.0L Twin-Turbo Flat-6</t>
        </is>
      </c>
      <c r="K455" s="20" t="n">
        <v>3</v>
      </c>
      <c r="L455" s="16" t="n">
        <v>6</v>
      </c>
      <c r="M455" s="17" t="inlineStr">
        <is>
          <t>8-Speed PDK</t>
        </is>
      </c>
      <c r="N455" s="16" t="inlineStr">
        <is>
          <t>RWD</t>
        </is>
      </c>
      <c r="O455" s="16" t="inlineStr">
        <is>
          <t>20 (18/23)</t>
        </is>
      </c>
      <c r="P455" s="16" t="inlineStr">
        <is>
          <t>N/A</t>
        </is>
      </c>
      <c r="Q455" s="21" t="inlineStr">
        <is>
          <t>N/A</t>
        </is>
      </c>
      <c r="R455" s="16" t="n">
        <v>4</v>
      </c>
      <c r="S455" s="22" t="n">
        <v>4.6</v>
      </c>
      <c r="T455" s="16" t="inlineStr">
        <is>
          <t>N/A</t>
        </is>
      </c>
      <c r="U455" s="23" t="inlineStr">
        <is>
          <t>10/10</t>
        </is>
      </c>
      <c r="V455" s="24" t="inlineStr">
        <is>
          <t xml:space="preserve"> • Benchmark sports car ergonomics
 • Daily-driver usability and visibility
 • Exceptional resale value</t>
        </is>
      </c>
      <c r="W455" s="25" t="inlineStr">
        <is>
          <t xml:space="preserve"> • Steep base and options prices
 • Tiny rear jump seats
 • Analog gauges replaced by screens</t>
        </is>
      </c>
      <c r="X455" s="26" t="inlineStr">
        <is>
          <t>The iconic benchmark against which every other high-end sports car on the planet is judged.</t>
        </is>
      </c>
      <c r="Y455" s="27" t="inlineStr">
        <is>
          <t>https://hips.hearstapps.com/hmg-prod/images/2026-porsche-911.jpg</t>
        </is>
      </c>
      <c r="Z455" s="27" t="inlineStr">
        <is>
          <t>https://www.caranddriver.com/porsche/911</t>
        </is>
      </c>
      <c r="AA455" s="17" t="inlineStr">
        <is>
          <t>Car and Driver 10Best Winner</t>
        </is>
      </c>
    </row>
    <row r="456" ht="48" customHeight="1">
      <c r="A456" s="4" t="n">
        <v>2026</v>
      </c>
      <c r="B456" s="5" t="inlineStr">
        <is>
          <t>Porsche</t>
        </is>
      </c>
      <c r="C456" s="5" t="inlineStr">
        <is>
          <t>Taycan</t>
        </is>
      </c>
      <c r="D456" s="5" t="inlineStr">
        <is>
          <t>Base Electric Sedan</t>
        </is>
      </c>
      <c r="E456" s="5" t="inlineStr">
        <is>
          <t>Electric Luxury Sport Sedan</t>
        </is>
      </c>
      <c r="F456" s="5" t="inlineStr">
        <is>
          <t>Electric</t>
        </is>
      </c>
      <c r="G456" s="6" t="n">
        <v>101395</v>
      </c>
      <c r="H456" s="7" t="n">
        <v>402</v>
      </c>
      <c r="I456" s="7" t="n">
        <v>302</v>
      </c>
      <c r="J456" s="5" t="inlineStr">
        <is>
          <t>Rear Permanent Magnet Motor</t>
        </is>
      </c>
      <c r="K456" s="4" t="inlineStr">
        <is>
          <t>N/A</t>
        </is>
      </c>
      <c r="L456" s="4" t="n">
        <v>0</v>
      </c>
      <c r="M456" s="5" t="inlineStr">
        <is>
          <t>2-Speed Rear Transmission</t>
        </is>
      </c>
      <c r="N456" s="4" t="inlineStr">
        <is>
          <t>RWD</t>
        </is>
      </c>
      <c r="O456" s="4" t="inlineStr">
        <is>
          <t>90 MPGe</t>
        </is>
      </c>
      <c r="P456" s="4" t="inlineStr">
        <is>
          <t>318</t>
        </is>
      </c>
      <c r="Q456" s="10" t="n">
        <v>89</v>
      </c>
      <c r="R456" s="4" t="n">
        <v>4</v>
      </c>
      <c r="S456" s="10" t="n">
        <v>14.3</v>
      </c>
      <c r="T456" s="4" t="inlineStr">
        <is>
          <t>N/A</t>
        </is>
      </c>
      <c r="U456" s="29" t="inlineStr">
        <is>
          <t>9.5/10</t>
        </is>
      </c>
      <c r="V456" s="12" t="inlineStr">
        <is>
          <t xml:space="preserve"> • Silent, instantaneous acceleration
 • Low center of gravity enhances stability
 • Zero tailpipe emissions</t>
        </is>
      </c>
      <c r="W456" s="13" t="inlineStr">
        <is>
          <t xml:space="preserve"> • Highway range drops at sustained speed
 • Public charging network variability
 • Pricier initial purchase cost</t>
        </is>
      </c>
      <c r="X456" s="14" t="inlineStr">
        <is>
          <t>A compelling electric entry in the electric luxury sport sedan segment offering smooth power delivery and advanced tech.</t>
        </is>
      </c>
      <c r="Y456" s="15" t="inlineStr">
        <is>
          <t>https://hips.hearstapps.com/hmg-prod/images/2026-porsche-taycan.jpg</t>
        </is>
      </c>
      <c r="Z456" s="15" t="inlineStr">
        <is>
          <t>https://www.caranddriver.com/porsche/taycan</t>
        </is>
      </c>
      <c r="AA456" s="5" t="inlineStr">
        <is>
          <t>Car and Driver 10Best</t>
        </is>
      </c>
    </row>
    <row r="457" ht="48" customHeight="1">
      <c r="A457" s="16" t="n">
        <v>2026</v>
      </c>
      <c r="B457" s="17" t="inlineStr">
        <is>
          <t>Porsche</t>
        </is>
      </c>
      <c r="C457" s="17" t="inlineStr">
        <is>
          <t>Panamera</t>
        </is>
      </c>
      <c r="D457" s="17" t="inlineStr">
        <is>
          <t>4 E-Hybrid Platinum</t>
        </is>
      </c>
      <c r="E457" s="17" t="inlineStr">
        <is>
          <t>Luxury Sport Liftback</t>
        </is>
      </c>
      <c r="F457" s="17" t="inlineStr">
        <is>
          <t>PHEV</t>
        </is>
      </c>
      <c r="G457" s="18" t="n">
        <v>117000</v>
      </c>
      <c r="H457" s="19" t="n">
        <v>463</v>
      </c>
      <c r="I457" s="19" t="n">
        <v>479</v>
      </c>
      <c r="J457" s="17" t="inlineStr">
        <is>
          <t>2.9L Twin-Turbo V6 + Motor</t>
        </is>
      </c>
      <c r="K457" s="20" t="n">
        <v>2.9</v>
      </c>
      <c r="L457" s="16" t="n">
        <v>6</v>
      </c>
      <c r="M457" s="17" t="inlineStr">
        <is>
          <t>8-Speed PDK</t>
        </is>
      </c>
      <c r="N457" s="16" t="inlineStr">
        <is>
          <t>AWD</t>
        </is>
      </c>
      <c r="O457" s="16" t="inlineStr">
        <is>
          <t>52 MPGe / 21 Comb</t>
        </is>
      </c>
      <c r="P457" s="16" t="inlineStr">
        <is>
          <t>35</t>
        </is>
      </c>
      <c r="Q457" s="22" t="n">
        <v>25.9</v>
      </c>
      <c r="R457" s="16" t="n">
        <v>4</v>
      </c>
      <c r="S457" s="22" t="n">
        <v>17.4</v>
      </c>
      <c r="T457" s="16" t="inlineStr">
        <is>
          <t>N/A</t>
        </is>
      </c>
      <c r="U457" s="28" t="inlineStr">
        <is>
          <t>9.0/10</t>
        </is>
      </c>
      <c r="V457" s="24" t="inlineStr">
        <is>
          <t xml:space="preserve"> • Superb real-world fuel economy
 • Smooth electric-gas power handover
 • No range anxiety on long trips</t>
        </is>
      </c>
      <c r="W457" s="25" t="inlineStr">
        <is>
          <t xml:space="preserve"> • Added curb weight from battery packs
 • Slightly compromised cargo space
 • eCVT engine flare during passing</t>
        </is>
      </c>
      <c r="X457" s="26" t="inlineStr">
        <is>
          <t>A finely engineered phev luxury sport liftback striking the optimal balance between high efficiency and long-distance practicality.</t>
        </is>
      </c>
      <c r="Y457" s="27" t="inlineStr">
        <is>
          <t>https://hips.hearstapps.com/hmg-prod/images/2026-porsche-panamera.jpg</t>
        </is>
      </c>
      <c r="Z457" s="27" t="inlineStr">
        <is>
          <t>https://www.caranddriver.com/porsche/panamera</t>
        </is>
      </c>
      <c r="AA457" s="17" t="inlineStr">
        <is>
          <t>Car and Driver Buyer's Guide</t>
        </is>
      </c>
    </row>
    <row r="458" ht="48" customHeight="1">
      <c r="A458" s="4" t="n">
        <v>2026</v>
      </c>
      <c r="B458" s="5" t="inlineStr">
        <is>
          <t>Porsche</t>
        </is>
      </c>
      <c r="C458" s="5" t="inlineStr">
        <is>
          <t>Cayenne</t>
        </is>
      </c>
      <c r="D458" s="5" t="inlineStr">
        <is>
          <t>Coupe GTS</t>
        </is>
      </c>
      <c r="E458" s="5" t="inlineStr">
        <is>
          <t>Performance Luxury SUV Coupe</t>
        </is>
      </c>
      <c r="F458" s="5" t="inlineStr">
        <is>
          <t>Gasoline</t>
        </is>
      </c>
      <c r="G458" s="6" t="n">
        <v>134000</v>
      </c>
      <c r="H458" s="7" t="n">
        <v>493</v>
      </c>
      <c r="I458" s="7" t="n">
        <v>487</v>
      </c>
      <c r="J458" s="5" t="inlineStr">
        <is>
          <t>4.0L Twin-Turbo V8</t>
        </is>
      </c>
      <c r="K458" s="8" t="n">
        <v>4</v>
      </c>
      <c r="L458" s="4" t="n">
        <v>8</v>
      </c>
      <c r="M458" s="5" t="inlineStr">
        <is>
          <t>8-Speed Tiptronic S</t>
        </is>
      </c>
      <c r="N458" s="4" t="inlineStr">
        <is>
          <t>AWD</t>
        </is>
      </c>
      <c r="O458" s="4" t="inlineStr">
        <is>
          <t>17 (15/21)</t>
        </is>
      </c>
      <c r="P458" s="4" t="inlineStr">
        <is>
          <t>N/A</t>
        </is>
      </c>
      <c r="Q458" s="9" t="inlineStr">
        <is>
          <t>N/A</t>
        </is>
      </c>
      <c r="R458" s="4" t="n">
        <v>4</v>
      </c>
      <c r="S458" s="10" t="n">
        <v>18</v>
      </c>
      <c r="T458" s="7" t="n">
        <v>7700</v>
      </c>
      <c r="U458" s="29" t="inlineStr">
        <is>
          <t>9.5/10</t>
        </is>
      </c>
      <c r="V458" s="12" t="inlineStr">
        <is>
          <t xml:space="preserve"> • Spacious passenger and cargo room
 • Commanding elevated driving position
 • Confidence-inspiring all-weather grip</t>
        </is>
      </c>
      <c r="W458" s="13" t="inlineStr">
        <is>
          <t xml:space="preserve"> • Higher center of gravity than sedans
 • Fuel consumption under heavy load
 • Less engaging steering feel</t>
        </is>
      </c>
      <c r="X458" s="14" t="inlineStr">
        <is>
          <t>A highly versatile performance luxury suv coupe that delivers generous space, modern safety tech, and daily utility.</t>
        </is>
      </c>
      <c r="Y458" s="15" t="inlineStr">
        <is>
          <t>https://hips.hearstapps.com/hmg-prod/images/2026-porsche-cayenne.jpg</t>
        </is>
      </c>
      <c r="Z458" s="15" t="inlineStr">
        <is>
          <t>https://www.caranddriver.com/porsche/cayenne</t>
        </is>
      </c>
      <c r="AA458" s="5" t="inlineStr">
        <is>
          <t>Car and Driver Editors' Choice</t>
        </is>
      </c>
    </row>
  </sheetData>
  <autoFilter ref="A3:AA458"/>
  <mergeCells count="2">
    <mergeCell ref="A1:AA1"/>
    <mergeCell ref="A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28" customWidth="1" min="4" max="4"/>
    <col width="18" customWidth="1" min="5" max="5"/>
  </cols>
  <sheetData>
    <row r="1" ht="40" customHeight="1">
      <c r="A1" s="30" t="inlineStr">
        <is>
          <t>US Automotive Market Master Analytics &amp; Segment Distribution</t>
        </is>
      </c>
    </row>
    <row r="3">
      <c r="A3" s="31" t="inlineStr">
        <is>
          <t>Market Overview KPI Indicators</t>
        </is>
      </c>
      <c r="D3" s="31" t="inlineStr">
        <is>
          <t>Powertrain Propulsion Mix</t>
        </is>
      </c>
    </row>
    <row r="4" ht="24" customHeight="1">
      <c r="A4" s="32" t="inlineStr">
        <is>
          <t>Indicator Metric</t>
        </is>
      </c>
      <c r="B4" s="32" t="inlineStr">
        <is>
          <t>Aggregate Value</t>
        </is>
      </c>
      <c r="D4" s="33" t="inlineStr">
        <is>
          <t>Powertrain Classification</t>
        </is>
      </c>
      <c r="E4" s="33" t="inlineStr">
        <is>
          <t>Vehicle Count</t>
        </is>
      </c>
    </row>
    <row r="5" ht="20" customHeight="1">
      <c r="A5" s="34" t="inlineStr">
        <is>
          <t>Total Documented US Vehicle Models</t>
        </is>
      </c>
      <c r="B5" s="35">
        <f>COUNTA('Master 2026-2027 US Catalog'!A4:A458)</f>
        <v/>
      </c>
      <c r="D5" s="34" t="inlineStr">
        <is>
          <t>Gasoline</t>
        </is>
      </c>
      <c r="E5" s="35">
        <f>COUNTIF('Master 2026-2027 US Catalog'!F4:F458, "Gasoline")</f>
        <v/>
      </c>
    </row>
    <row r="6" ht="20" customHeight="1">
      <c r="A6" s="34" t="inlineStr">
        <is>
          <t>Average Vehicle MSRP</t>
        </is>
      </c>
      <c r="B6" s="36">
        <f>AVERAGE('Master 2026-2027 US Catalog'!G4:G458)</f>
        <v/>
      </c>
      <c r="D6" s="34" t="inlineStr">
        <is>
          <t>Electric</t>
        </is>
      </c>
      <c r="E6" s="35">
        <f>COUNTIF('Master 2026-2027 US Catalog'!F4:F458, "Electric")</f>
        <v/>
      </c>
    </row>
    <row r="7" ht="20" customHeight="1">
      <c r="A7" s="34" t="inlineStr">
        <is>
          <t>Minimum Vehicle MSRP</t>
        </is>
      </c>
      <c r="B7" s="36">
        <f>MIN('Master 2026-2027 US Catalog'!G4:G458)</f>
        <v/>
      </c>
      <c r="D7" s="34" t="inlineStr">
        <is>
          <t>Gas-Electric Hybrid</t>
        </is>
      </c>
      <c r="E7" s="35">
        <f>COUNTIF('Master 2026-2027 US Catalog'!F4:F458, "Gas-Electric Hybrid")</f>
        <v/>
      </c>
    </row>
    <row r="8" ht="20" customHeight="1">
      <c r="A8" s="34" t="inlineStr">
        <is>
          <t>Maximum Vehicle MSRP</t>
        </is>
      </c>
      <c r="B8" s="36">
        <f>MAX('Master 2026-2027 US Catalog'!G4:G458)</f>
        <v/>
      </c>
      <c r="D8" s="34" t="inlineStr">
        <is>
          <t>PHEV</t>
        </is>
      </c>
      <c r="E8" s="35">
        <f>COUNTIF('Master 2026-2027 US Catalog'!F4:F458, "PHEV")</f>
        <v/>
      </c>
    </row>
    <row r="9" ht="20" customHeight="1">
      <c r="A9" s="34" t="inlineStr">
        <is>
          <t>Average Horsepower Output</t>
        </is>
      </c>
      <c r="B9" s="37">
        <f>AVERAGE('Master 2026-2027 US Catalog'!H4:H458)</f>
        <v/>
      </c>
      <c r="D9" s="34" t="inlineStr">
        <is>
          <t>Mild Hybrid</t>
        </is>
      </c>
      <c r="E9" s="35">
        <f>COUNTIF('Master 2026-2027 US Catalog'!F4:F458, "Mild Hybrid")</f>
        <v/>
      </c>
    </row>
    <row r="10" ht="20" customHeight="1">
      <c r="A10" s="34" t="inlineStr">
        <is>
          <t>Maximum Horsepower Output</t>
        </is>
      </c>
      <c r="B10" s="37">
        <f>MAX('Master 2026-2027 US Catalog'!H4:H458)</f>
        <v/>
      </c>
    </row>
    <row r="11" ht="20" customHeight="1">
      <c r="A11" s="34" t="inlineStr">
        <is>
          <t>Average Torque Output</t>
        </is>
      </c>
      <c r="B11" s="38">
        <f>AVERAGE('Master 2026-2027 US Catalog'!I4:I458)</f>
        <v/>
      </c>
    </row>
    <row r="14">
      <c r="A14" s="31" t="inlineStr">
        <is>
          <t>Manufacturer Representation</t>
        </is>
      </c>
    </row>
    <row r="15" ht="22" customHeight="1">
      <c r="A15" s="39" t="inlineStr">
        <is>
          <t>Brand / Make</t>
        </is>
      </c>
      <c r="B15" s="39" t="inlineStr">
        <is>
          <t>Models Cataloged</t>
        </is>
      </c>
    </row>
    <row r="16" ht="19" customHeight="1">
      <c r="A16" s="34" t="inlineStr">
        <is>
          <t>Acura</t>
        </is>
      </c>
      <c r="B16" s="35">
        <f>COUNTIF('Master 2026-2027 US Catalog'!B4:B458, "Acura")</f>
        <v/>
      </c>
    </row>
    <row r="17" ht="19" customHeight="1">
      <c r="A17" s="34" t="inlineStr">
        <is>
          <t>Alfa Romeo</t>
        </is>
      </c>
      <c r="B17" s="35">
        <f>COUNTIF('Master 2026-2027 US Catalog'!B4:B458, "Alfa Romeo")</f>
        <v/>
      </c>
    </row>
    <row r="18" ht="19" customHeight="1">
      <c r="A18" s="34" t="inlineStr">
        <is>
          <t>Aston Martin</t>
        </is>
      </c>
      <c r="B18" s="35">
        <f>COUNTIF('Master 2026-2027 US Catalog'!B4:B458, "Aston Martin")</f>
        <v/>
      </c>
    </row>
    <row r="19" ht="19" customHeight="1">
      <c r="A19" s="34" t="inlineStr">
        <is>
          <t>Audi</t>
        </is>
      </c>
      <c r="B19" s="35">
        <f>COUNTIF('Master 2026-2027 US Catalog'!B4:B458, "Audi")</f>
        <v/>
      </c>
    </row>
    <row r="20" ht="19" customHeight="1">
      <c r="A20" s="34" t="inlineStr">
        <is>
          <t>BMW</t>
        </is>
      </c>
      <c r="B20" s="35">
        <f>COUNTIF('Master 2026-2027 US Catalog'!B4:B458, "BMW")</f>
        <v/>
      </c>
    </row>
    <row r="21" ht="19" customHeight="1">
      <c r="A21" s="34" t="inlineStr">
        <is>
          <t>Bentley</t>
        </is>
      </c>
      <c r="B21" s="35">
        <f>COUNTIF('Master 2026-2027 US Catalog'!B4:B458, "Bentley")</f>
        <v/>
      </c>
    </row>
    <row r="22" ht="19" customHeight="1">
      <c r="A22" s="34" t="inlineStr">
        <is>
          <t>Buick</t>
        </is>
      </c>
      <c r="B22" s="35">
        <f>COUNTIF('Master 2026-2027 US Catalog'!B4:B458, "Buick")</f>
        <v/>
      </c>
    </row>
    <row r="23" ht="19" customHeight="1">
      <c r="A23" s="34" t="inlineStr">
        <is>
          <t>Cadillac</t>
        </is>
      </c>
      <c r="B23" s="35">
        <f>COUNTIF('Master 2026-2027 US Catalog'!B4:B458, "Cadillac")</f>
        <v/>
      </c>
    </row>
    <row r="24" ht="19" customHeight="1">
      <c r="A24" s="34" t="inlineStr">
        <is>
          <t>Chevrolet</t>
        </is>
      </c>
      <c r="B24" s="35">
        <f>COUNTIF('Master 2026-2027 US Catalog'!B4:B458, "Chevrolet")</f>
        <v/>
      </c>
    </row>
    <row r="25" ht="19" customHeight="1">
      <c r="A25" s="34" t="inlineStr">
        <is>
          <t>Chrysler</t>
        </is>
      </c>
      <c r="B25" s="35">
        <f>COUNTIF('Master 2026-2027 US Catalog'!B4:B458, "Chrysler")</f>
        <v/>
      </c>
    </row>
    <row r="26" ht="19" customHeight="1">
      <c r="A26" s="34" t="inlineStr">
        <is>
          <t>Dodge</t>
        </is>
      </c>
      <c r="B26" s="35">
        <f>COUNTIF('Master 2026-2027 US Catalog'!B4:B458, "Dodge")</f>
        <v/>
      </c>
    </row>
    <row r="27" ht="19" customHeight="1">
      <c r="A27" s="34" t="inlineStr">
        <is>
          <t>Ferrari</t>
        </is>
      </c>
      <c r="B27" s="35">
        <f>COUNTIF('Master 2026-2027 US Catalog'!B4:B458, "Ferrari")</f>
        <v/>
      </c>
    </row>
    <row r="28" ht="19" customHeight="1">
      <c r="A28" s="34" t="inlineStr">
        <is>
          <t>Fiat</t>
        </is>
      </c>
      <c r="B28" s="35">
        <f>COUNTIF('Master 2026-2027 US Catalog'!B4:B458, "Fiat")</f>
        <v/>
      </c>
    </row>
    <row r="29" ht="19" customHeight="1">
      <c r="A29" s="34" t="inlineStr">
        <is>
          <t>Ford</t>
        </is>
      </c>
      <c r="B29" s="35">
        <f>COUNTIF('Master 2026-2027 US Catalog'!B4:B458, "Ford")</f>
        <v/>
      </c>
    </row>
    <row r="30" ht="19" customHeight="1">
      <c r="A30" s="34" t="inlineStr">
        <is>
          <t>GMC</t>
        </is>
      </c>
      <c r="B30" s="35">
        <f>COUNTIF('Master 2026-2027 US Catalog'!B4:B458, "GMC")</f>
        <v/>
      </c>
    </row>
    <row r="31" ht="19" customHeight="1">
      <c r="A31" s="34" t="inlineStr">
        <is>
          <t>Genesis</t>
        </is>
      </c>
      <c r="B31" s="35">
        <f>COUNTIF('Master 2026-2027 US Catalog'!B4:B458, "Genesis")</f>
        <v/>
      </c>
    </row>
    <row r="32" ht="19" customHeight="1">
      <c r="A32" s="34" t="inlineStr">
        <is>
          <t>Honda</t>
        </is>
      </c>
      <c r="B32" s="35">
        <f>COUNTIF('Master 2026-2027 US Catalog'!B4:B458, "Honda")</f>
        <v/>
      </c>
    </row>
    <row r="33" ht="19" customHeight="1">
      <c r="A33" s="34" t="inlineStr">
        <is>
          <t>Hyundai</t>
        </is>
      </c>
      <c r="B33" s="35">
        <f>COUNTIF('Master 2026-2027 US Catalog'!B4:B458, "Hyundai")</f>
        <v/>
      </c>
    </row>
    <row r="34" ht="19" customHeight="1">
      <c r="A34" s="34" t="inlineStr">
        <is>
          <t>Infiniti</t>
        </is>
      </c>
      <c r="B34" s="35">
        <f>COUNTIF('Master 2026-2027 US Catalog'!B4:B458, "Infiniti")</f>
        <v/>
      </c>
    </row>
    <row r="35" ht="19" customHeight="1">
      <c r="A35" s="34" t="inlineStr">
        <is>
          <t>Jaguar</t>
        </is>
      </c>
      <c r="B35" s="35">
        <f>COUNTIF('Master 2026-2027 US Catalog'!B4:B458, "Jaguar")</f>
        <v/>
      </c>
    </row>
    <row r="36" ht="19" customHeight="1">
      <c r="A36" s="34" t="inlineStr">
        <is>
          <t>Jeep</t>
        </is>
      </c>
      <c r="B36" s="35">
        <f>COUNTIF('Master 2026-2027 US Catalog'!B4:B458, "Jeep")</f>
        <v/>
      </c>
    </row>
    <row r="37" ht="19" customHeight="1">
      <c r="A37" s="34" t="inlineStr">
        <is>
          <t>Kia</t>
        </is>
      </c>
      <c r="B37" s="35">
        <f>COUNTIF('Master 2026-2027 US Catalog'!B4:B458, "Kia")</f>
        <v/>
      </c>
    </row>
    <row r="38" ht="19" customHeight="1">
      <c r="A38" s="34" t="inlineStr">
        <is>
          <t>Lamborghini</t>
        </is>
      </c>
      <c r="B38" s="35">
        <f>COUNTIF('Master 2026-2027 US Catalog'!B4:B458, "Lamborghini")</f>
        <v/>
      </c>
    </row>
    <row r="39" ht="19" customHeight="1">
      <c r="A39" s="34" t="inlineStr">
        <is>
          <t>Land Rover</t>
        </is>
      </c>
      <c r="B39" s="35">
        <f>COUNTIF('Master 2026-2027 US Catalog'!B4:B458, "Land Rover")</f>
        <v/>
      </c>
    </row>
    <row r="40" ht="19" customHeight="1">
      <c r="A40" s="34" t="inlineStr">
        <is>
          <t>Lexus</t>
        </is>
      </c>
      <c r="B40" s="35">
        <f>COUNTIF('Master 2026-2027 US Catalog'!B4:B458, "Lexus")</f>
        <v/>
      </c>
    </row>
    <row r="41" ht="19" customHeight="1">
      <c r="A41" s="34" t="inlineStr">
        <is>
          <t>Lincoln</t>
        </is>
      </c>
      <c r="B41" s="35">
        <f>COUNTIF('Master 2026-2027 US Catalog'!B4:B458, "Lincoln")</f>
        <v/>
      </c>
    </row>
    <row r="42" ht="19" customHeight="1">
      <c r="A42" s="34" t="inlineStr">
        <is>
          <t>Lotus</t>
        </is>
      </c>
      <c r="B42" s="35">
        <f>COUNTIF('Master 2026-2027 US Catalog'!B4:B458, "Lotus")</f>
        <v/>
      </c>
    </row>
    <row r="43" ht="19" customHeight="1">
      <c r="A43" s="34" t="inlineStr">
        <is>
          <t>Lucid</t>
        </is>
      </c>
      <c r="B43" s="35">
        <f>COUNTIF('Master 2026-2027 US Catalog'!B4:B458, "Lucid")</f>
        <v/>
      </c>
    </row>
    <row r="44" ht="19" customHeight="1">
      <c r="A44" s="34" t="inlineStr">
        <is>
          <t>MINI</t>
        </is>
      </c>
      <c r="B44" s="35">
        <f>COUNTIF('Master 2026-2027 US Catalog'!B4:B458, "MINI")</f>
        <v/>
      </c>
    </row>
    <row r="45" ht="19" customHeight="1">
      <c r="A45" s="34" t="inlineStr">
        <is>
          <t>Maserati</t>
        </is>
      </c>
      <c r="B45" s="35">
        <f>COUNTIF('Master 2026-2027 US Catalog'!B4:B458, "Maserati")</f>
        <v/>
      </c>
    </row>
    <row r="46" ht="19" customHeight="1">
      <c r="A46" s="34" t="inlineStr">
        <is>
          <t>Mazda</t>
        </is>
      </c>
      <c r="B46" s="35">
        <f>COUNTIF('Master 2026-2027 US Catalog'!B4:B458, "Mazda")</f>
        <v/>
      </c>
    </row>
    <row r="47" ht="19" customHeight="1">
      <c r="A47" s="34" t="inlineStr">
        <is>
          <t>McLaren</t>
        </is>
      </c>
      <c r="B47" s="35">
        <f>COUNTIF('Master 2026-2027 US Catalog'!B4:B458, "McLaren")</f>
        <v/>
      </c>
    </row>
    <row r="48" ht="19" customHeight="1">
      <c r="A48" s="34" t="inlineStr">
        <is>
          <t>Mercedes-Benz</t>
        </is>
      </c>
      <c r="B48" s="35">
        <f>COUNTIF('Master 2026-2027 US Catalog'!B4:B458, "Mercedes-Benz")</f>
        <v/>
      </c>
    </row>
    <row r="49" ht="19" customHeight="1">
      <c r="A49" s="34" t="inlineStr">
        <is>
          <t>Mitsubishi</t>
        </is>
      </c>
      <c r="B49" s="35">
        <f>COUNTIF('Master 2026-2027 US Catalog'!B4:B458, "Mitsubishi")</f>
        <v/>
      </c>
    </row>
    <row r="50" ht="19" customHeight="1">
      <c r="A50" s="34" t="inlineStr">
        <is>
          <t>Nissan</t>
        </is>
      </c>
      <c r="B50" s="35">
        <f>COUNTIF('Master 2026-2027 US Catalog'!B4:B458, "Nissan")</f>
        <v/>
      </c>
    </row>
    <row r="51" ht="19" customHeight="1">
      <c r="A51" s="34" t="inlineStr">
        <is>
          <t>Polestar</t>
        </is>
      </c>
      <c r="B51" s="35">
        <f>COUNTIF('Master 2026-2027 US Catalog'!B4:B458, "Polestar")</f>
        <v/>
      </c>
    </row>
    <row r="52" ht="19" customHeight="1">
      <c r="A52" s="34" t="inlineStr">
        <is>
          <t>Porsche</t>
        </is>
      </c>
      <c r="B52" s="35">
        <f>COUNTIF('Master 2026-2027 US Catalog'!B4:B458, "Porsche")</f>
        <v/>
      </c>
    </row>
    <row r="53" ht="19" customHeight="1">
      <c r="A53" s="34" t="inlineStr">
        <is>
          <t>Ram</t>
        </is>
      </c>
      <c r="B53" s="35">
        <f>COUNTIF('Master 2026-2027 US Catalog'!B4:B458, "Ram")</f>
        <v/>
      </c>
    </row>
    <row r="54" ht="19" customHeight="1">
      <c r="A54" s="34" t="inlineStr">
        <is>
          <t>Rivian</t>
        </is>
      </c>
      <c r="B54" s="35">
        <f>COUNTIF('Master 2026-2027 US Catalog'!B4:B458, "Rivian")</f>
        <v/>
      </c>
    </row>
    <row r="55" ht="19" customHeight="1">
      <c r="A55" s="34" t="inlineStr">
        <is>
          <t>Rolls-Royce</t>
        </is>
      </c>
      <c r="B55" s="35">
        <f>COUNTIF('Master 2026-2027 US Catalog'!B4:B458, "Rolls-Royce")</f>
        <v/>
      </c>
    </row>
    <row r="56" ht="19" customHeight="1">
      <c r="A56" s="34" t="inlineStr">
        <is>
          <t>Scout</t>
        </is>
      </c>
      <c r="B56" s="35">
        <f>COUNTIF('Master 2026-2027 US Catalog'!B4:B458, "Scout")</f>
        <v/>
      </c>
    </row>
    <row r="57" ht="19" customHeight="1">
      <c r="A57" s="34" t="inlineStr">
        <is>
          <t>Subaru</t>
        </is>
      </c>
      <c r="B57" s="35">
        <f>COUNTIF('Master 2026-2027 US Catalog'!B4:B458, "Subaru")</f>
        <v/>
      </c>
    </row>
    <row r="58" ht="19" customHeight="1">
      <c r="A58" s="34" t="inlineStr">
        <is>
          <t>Tesla</t>
        </is>
      </c>
      <c r="B58" s="35">
        <f>COUNTIF('Master 2026-2027 US Catalog'!B4:B458, "Tesla")</f>
        <v/>
      </c>
    </row>
    <row r="59" ht="19" customHeight="1">
      <c r="A59" s="34" t="inlineStr">
        <is>
          <t>Toyota</t>
        </is>
      </c>
      <c r="B59" s="35">
        <f>COUNTIF('Master 2026-2027 US Catalog'!B4:B458, "Toyota")</f>
        <v/>
      </c>
    </row>
    <row r="60" ht="19" customHeight="1">
      <c r="A60" s="34" t="inlineStr">
        <is>
          <t>VinFast</t>
        </is>
      </c>
      <c r="B60" s="35">
        <f>COUNTIF('Master 2026-2027 US Catalog'!B4:B458, "VinFast")</f>
        <v/>
      </c>
    </row>
    <row r="61" ht="19" customHeight="1">
      <c r="A61" s="34" t="inlineStr">
        <is>
          <t>Volkswagen</t>
        </is>
      </c>
      <c r="B61" s="35">
        <f>COUNTIF('Master 2026-2027 US Catalog'!B4:B458, "Volkswagen")</f>
        <v/>
      </c>
    </row>
    <row r="62" ht="19" customHeight="1">
      <c r="A62" s="34" t="inlineStr">
        <is>
          <t>Volvo</t>
        </is>
      </c>
      <c r="B62" s="35">
        <f>COUNTIF('Master 2026-2027 US Catalog'!B4:B458, "Volvo")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2026-10-08T05:24:50Z</dcterms:created>
  <dcterms:modified xmlns:dcterms="http://purl.org/dc/terms/" xmlns:xsi="http://www.w3.org/2001/XMLSchema-instance" xsi:type="dcterms:W3CDTF">2026-10-08T05:24:52Z</dcterms:modified>
</cp:coreProperties>
</file>